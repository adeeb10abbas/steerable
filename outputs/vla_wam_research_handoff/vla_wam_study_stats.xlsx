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drawings/charts/chart2.xml" ContentType="application/vnd.openxmlformats-officedocument.drawingml.char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22421f834824ed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shboard" sheetId="1" r:id="R83fc83a3069749a2"/>
    <x:sheet xmlns:r="http://schemas.openxmlformats.org/officeDocument/2006/relationships" name="Behavioral Results" sheetId="2" r:id="Rc6aebea329d140bc"/>
    <x:sheet xmlns:r="http://schemas.openxmlformats.org/officeDocument/2006/relationships" name="Media Inventory" sheetId="3" r:id="R2fb63574df3b4760"/>
    <x:sheet xmlns:r="http://schemas.openxmlformats.org/officeDocument/2006/relationships" name="Interface Probes" sheetId="4" r:id="Rb13c57b762394ca0"/>
    <x:sheet xmlns:r="http://schemas.openxmlformats.org/officeDocument/2006/relationships" name="Definitions &amp; Sources" sheetId="5" r:id="Rb0906a6d042f401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0.0%"/>
    <x:numFmt numFmtId="201" formatCode="0.00"/>
    <x:numFmt numFmtId="202" formatCode="0%"/>
  </x:numFmts>
  <x:fonts count="7">
    <x:font>
      <x:sz val="11"/>
      <x:name val="Carlito"/>
    </x:font>
    <x:font>
      <x:b/>
      <x:sz val="20"/>
      <x:color rgb="FFFFFFFF"/>
      <x:name val="Carlito"/>
    </x:font>
    <x:font>
      <x:i/>
      <x:sz val="10"/>
      <x:color rgb="FF172033"/>
      <x:name val="Carlito"/>
    </x:font>
    <x:font>
      <x:b/>
      <x:sz val="11"/>
      <x:color rgb="FFFFFFFF"/>
      <x:name val="Carlito"/>
    </x:font>
    <x:font>
      <x:sz val="10"/>
      <x:color rgb="FF172033"/>
      <x:name val="Carlito"/>
    </x:font>
    <x:font>
      <x:b/>
      <x:sz val="18"/>
      <x:color rgb="FF0B1F33"/>
      <x:name val="Carlito"/>
    </x:font>
    <x:font>
      <x:i/>
      <x:sz val="11"/>
      <x:color rgb="FF172033"/>
      <x:name val="Carlito"/>
    </x:font>
  </x:fonts>
  <x:fills count="8">
    <x:fill>
      <x:patternFill patternType="none"/>
    </x:fill>
    <x:fill>
      <x:patternFill patternType="gray125"/>
    </x:fill>
    <x:fill>
      <x:patternFill patternType="solid">
        <x:fgColor rgb="FF0B1F33"/>
      </x:patternFill>
    </x:fill>
    <x:fill>
      <x:patternFill patternType="solid">
        <x:fgColor rgb="FFE8F1FB"/>
      </x:patternFill>
    </x:fill>
    <x:fill>
      <x:patternFill patternType="solid">
        <x:fgColor rgb="FF0F766E"/>
      </x:patternFill>
    </x:fill>
    <x:fill>
      <x:patternFill patternType="solid">
        <x:fgColor rgb="FFE6F4F1"/>
      </x:patternFill>
    </x:fill>
    <x:fill>
      <x:patternFill patternType="solid">
        <x:fgColor rgb="FFFFF1E7"/>
      </x:patternFill>
    </x:fill>
    <x:fill>
      <x:patternFill patternType="solid">
        <x:fgColor rgb="FFF3F6F8"/>
      </x:patternFill>
    </x:fill>
  </x:fills>
  <x:borders count="10">
    <x:border/>
    <x:border>
      <x:left style="thin">
        <x:color rgb="FFD7E0E8"/>
      </x:left>
      <x:right style="thin">
        <x:color rgb="FFD7E0E8"/>
      </x:right>
      <x:top style="thin">
        <x:color rgb="FFD7E0E8"/>
      </x:top>
      <x:bottom style="thin">
        <x:color rgb="FFD7E0E8"/>
      </x:bottom>
    </x:border>
    <x:border>
      <x:left style="thin">
        <x:color rgb="FFD7E0E8"/>
      </x:left>
      <x:top style="thin">
        <x:color rgb="FFD7E0E8"/>
      </x:top>
    </x:border>
    <x:border>
      <x:top style="thin">
        <x:color rgb="FFD7E0E8"/>
      </x:top>
    </x:border>
    <x:border>
      <x:right style="thin">
        <x:color rgb="FFD7E0E8"/>
      </x:right>
      <x:top style="thin">
        <x:color rgb="FFD7E0E8"/>
      </x:top>
    </x:border>
    <x:border>
      <x:left style="thin">
        <x:color rgb="FFD7E0E8"/>
      </x:left>
    </x:border>
    <x:border>
      <x:right style="thin">
        <x:color rgb="FFD7E0E8"/>
      </x:right>
    </x:border>
    <x:border>
      <x:left style="thin">
        <x:color rgb="FFD7E0E8"/>
      </x:left>
      <x:bottom style="thin">
        <x:color rgb="FFD7E0E8"/>
      </x:bottom>
    </x:border>
    <x:border>
      <x:bottom style="thin">
        <x:color rgb="FFD7E0E8"/>
      </x:bottom>
    </x:border>
    <x:border>
      <x:right style="thin">
        <x:color rgb="FFD7E0E8"/>
      </x:right>
      <x:bottom style="thin">
        <x:color rgb="FFD7E0E8"/>
      </x:bottom>
    </x:border>
  </x:borders>
  <x:cellStyleXfs count="1">
    <x:xf numFmtId="0" fontId="0" fillId="0" borderId="0"/>
  </x:cellStyleXfs>
  <x:cellXfs count="61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vertical="center" wrapText="1"/>
    </x:xf>
    <x:xf numFmtId="0" fontId="4" fillId="0" borderId="0" xfId="0" applyNumberFormat="1" applyFont="1" applyFill="1" applyBorder="1"/>
    <x:xf numFmtId="0" fontId="4" fillId="0" borderId="1" xfId="0" applyNumberFormat="1" applyFont="1" applyFill="1" applyBorder="1"/>
    <x:xf numFmtId="0" fontId="4" fillId="0" borderId="1" xfId="0" applyNumberFormat="1" applyFont="1" applyFill="1" applyBorder="1" applyAlignment="1">
      <x:alignment vertical="top"/>
    </x:xf>
    <x:xf numFmtId="200" fontId="4" fillId="0" borderId="1" xfId="0" applyNumberFormat="1" applyFont="1" applyFill="1" applyBorder="1" applyAlignment="1">
      <x:alignment vertical="top"/>
    </x:xf>
    <x:xf numFmtId="0" fontId="4" fillId="0" borderId="1" xfId="0" applyNumberFormat="1" applyFont="1" applyFill="1" applyBorder="1" applyAlignment="1">
      <x:alignment vertical="top" wrapText="1"/>
    </x:xf>
    <x:xf numFmtId="200" fontId="4" fillId="0" borderId="1" xfId="0" applyNumberFormat="1" applyFont="1" applyFill="1" applyBorder="1" applyAlignment="1">
      <x:alignment vertical="top" wrapText="1"/>
    </x:xf>
    <x:xf numFmtId="201" fontId="4" fillId="0" borderId="1" xfId="0" applyNumberFormat="1" applyFont="1" applyFill="1" applyBorder="1" applyAlignment="1">
      <x:alignment vertical="top"/>
    </x:xf>
    <x:xf numFmtId="201" fontId="4" fillId="0" borderId="1" xfId="0" applyNumberFormat="1" applyFont="1" applyFill="1" applyBorder="1" applyAlignment="1">
      <x:alignment vertical="top" wrapText="1"/>
    </x:xf>
    <x:xf numFmtId="0" fontId="0" fillId="5" borderId="0" xfId="0" applyNumberFormat="1" applyFont="1" applyFill="1" applyBorder="1"/>
    <x:xf numFmtId="0" fontId="5" fillId="5" borderId="0" xfId="0" applyNumberFormat="1" applyFont="1" applyFill="1" applyBorder="1"/>
    <x:xf numFmtId="0" fontId="5" fillId="5" borderId="1" xfId="0" applyNumberFormat="1" applyFont="1" applyFill="1" applyBorder="1"/>
    <x:xf numFmtId="0" fontId="5" fillId="5" borderId="1" xfId="0" applyNumberFormat="1" applyFont="1" applyFill="1" applyBorder="1" applyAlignment="1">
      <x:alignment horizontal="center"/>
    </x:xf>
    <x:xf numFmtId="0" fontId="0" fillId="6" borderId="0" xfId="0" applyNumberFormat="1" applyFont="1" applyFill="1" applyBorder="1"/>
    <x:xf numFmtId="0" fontId="5" fillId="6" borderId="0" xfId="0" applyNumberFormat="1" applyFont="1" applyFill="1" applyBorder="1"/>
    <x:xf numFmtId="0" fontId="5" fillId="6" borderId="1" xfId="0" applyNumberFormat="1" applyFont="1" applyFill="1" applyBorder="1"/>
    <x:xf numFmtId="0" fontId="5" fillId="6" borderId="1" xfId="0" applyNumberFormat="1" applyFont="1" applyFill="1" applyBorder="1" applyAlignment="1">
      <x:alignment horizontal="center"/>
    </x:xf>
    <x:xf numFmtId="202" fontId="0" fillId="0" borderId="0" xfId="0" applyNumberFormat="1" applyFont="1" applyFill="1" applyBorder="1"/>
    <x:xf numFmtId="202" fontId="4" fillId="0" borderId="0" xfId="0" applyNumberFormat="1" applyFont="1" applyFill="1" applyBorder="1"/>
    <x:xf numFmtId="202" fontId="4" fillId="0" borderId="1" xfId="0" applyNumberFormat="1" applyFont="1" applyFill="1" applyBorder="1"/>
    <x:xf numFmtId="202" fontId="4" fillId="0" borderId="1" xfId="0" applyNumberFormat="1" applyFont="1" applyFill="1" applyBorder="1" applyAlignment="1">
      <x:alignment vertical="top"/>
    </x:xf>
    <x:xf numFmtId="0" fontId="0" fillId="7" borderId="0" xfId="0" applyNumberFormat="1" applyFont="1" applyFill="1" applyBorder="1"/>
    <x:xf numFmtId="0" fontId="6" fillId="7" borderId="0" xfId="0" applyNumberFormat="1" applyFont="1" applyFill="1" applyBorder="1"/>
    <x:xf numFmtId="0" fontId="6" fillId="7" borderId="2" xfId="0" applyNumberFormat="1" applyFont="1" applyFill="1" applyBorder="1"/>
    <x:xf numFmtId="0" fontId="6" fillId="7" borderId="3" xfId="0" applyNumberFormat="1" applyFont="1" applyFill="1" applyBorder="1"/>
    <x:xf numFmtId="0" fontId="6" fillId="7" borderId="4" xfId="0" applyNumberFormat="1" applyFont="1" applyFill="1" applyBorder="1"/>
    <x:xf numFmtId="0" fontId="6" fillId="7" borderId="5" xfId="0" applyNumberFormat="1" applyFont="1" applyFill="1" applyBorder="1"/>
    <x:xf numFmtId="0" fontId="6" fillId="7" borderId="6" xfId="0" applyNumberFormat="1" applyFont="1" applyFill="1" applyBorder="1"/>
    <x:xf numFmtId="0" fontId="6" fillId="7" borderId="7" xfId="0" applyNumberFormat="1" applyFont="1" applyFill="1" applyBorder="1"/>
    <x:xf numFmtId="0" fontId="6" fillId="7" borderId="8" xfId="0" applyNumberFormat="1" applyFont="1" applyFill="1" applyBorder="1"/>
    <x:xf numFmtId="0" fontId="6" fillId="7" borderId="9" xfId="0" applyNumberFormat="1" applyFont="1" applyFill="1" applyBorder="1"/>
    <x:xf numFmtId="0" fontId="6" fillId="7" borderId="2" xfId="0" applyNumberFormat="1" applyFont="1" applyFill="1" applyBorder="1" applyAlignment="1">
      <x:alignment wrapText="1"/>
    </x:xf>
    <x:xf numFmtId="0" fontId="6" fillId="7" borderId="3" xfId="0" applyNumberFormat="1" applyFont="1" applyFill="1" applyBorder="1" applyAlignment="1">
      <x:alignment wrapText="1"/>
    </x:xf>
    <x:xf numFmtId="0" fontId="6" fillId="7" borderId="4" xfId="0" applyNumberFormat="1" applyFont="1" applyFill="1" applyBorder="1" applyAlignment="1">
      <x:alignment wrapText="1"/>
    </x:xf>
    <x:xf numFmtId="0" fontId="6" fillId="7" borderId="5" xfId="0" applyNumberFormat="1" applyFont="1" applyFill="1" applyBorder="1" applyAlignment="1">
      <x:alignment wrapText="1"/>
    </x:xf>
    <x:xf numFmtId="0" fontId="6" fillId="7" borderId="0" xfId="0" applyNumberFormat="1" applyFont="1" applyFill="1" applyBorder="1" applyAlignment="1">
      <x:alignment wrapText="1"/>
    </x:xf>
    <x:xf numFmtId="0" fontId="6" fillId="7" borderId="6" xfId="0" applyNumberFormat="1" applyFont="1" applyFill="1" applyBorder="1" applyAlignment="1">
      <x:alignment wrapText="1"/>
    </x:xf>
    <x:xf numFmtId="0" fontId="6" fillId="7" borderId="7" xfId="0" applyNumberFormat="1" applyFont="1" applyFill="1" applyBorder="1" applyAlignment="1">
      <x:alignment wrapText="1"/>
    </x:xf>
    <x:xf numFmtId="0" fontId="6" fillId="7" borderId="8" xfId="0" applyNumberFormat="1" applyFont="1" applyFill="1" applyBorder="1" applyAlignment="1">
      <x:alignment wrapText="1"/>
    </x:xf>
    <x:xf numFmtId="0" fontId="6" fillId="7" borderId="9" xfId="0" applyNumberFormat="1" applyFont="1" applyFill="1" applyBorder="1" applyAlignment="1">
      <x:alignment wrapText="1"/>
    </x:xf>
    <x:xf numFmtId="0" fontId="6" fillId="7" borderId="2" xfId="0" applyNumberFormat="1" applyFont="1" applyFill="1" applyBorder="1" applyAlignment="1">
      <x:alignment vertical="center" wrapText="1"/>
    </x:xf>
    <x:xf numFmtId="0" fontId="6" fillId="7" borderId="3" xfId="0" applyNumberFormat="1" applyFont="1" applyFill="1" applyBorder="1" applyAlignment="1">
      <x:alignment vertical="center" wrapText="1"/>
    </x:xf>
    <x:xf numFmtId="0" fontId="6" fillId="7" borderId="4" xfId="0" applyNumberFormat="1" applyFont="1" applyFill="1" applyBorder="1" applyAlignment="1">
      <x:alignment vertical="center" wrapText="1"/>
    </x:xf>
    <x:xf numFmtId="0" fontId="6" fillId="7" borderId="5" xfId="0" applyNumberFormat="1" applyFont="1" applyFill="1" applyBorder="1" applyAlignment="1">
      <x:alignment vertical="center" wrapText="1"/>
    </x:xf>
    <x:xf numFmtId="0" fontId="6" fillId="7" borderId="0" xfId="0" applyNumberFormat="1" applyFont="1" applyFill="1" applyBorder="1" applyAlignment="1">
      <x:alignment vertical="center" wrapText="1"/>
    </x:xf>
    <x:xf numFmtId="0" fontId="6" fillId="7" borderId="6" xfId="0" applyNumberFormat="1" applyFont="1" applyFill="1" applyBorder="1" applyAlignment="1">
      <x:alignment vertical="center" wrapText="1"/>
    </x:xf>
    <x:xf numFmtId="0" fontId="6" fillId="7" borderId="7" xfId="0" applyNumberFormat="1" applyFont="1" applyFill="1" applyBorder="1" applyAlignment="1">
      <x:alignment vertical="center" wrapText="1"/>
    </x:xf>
    <x:xf numFmtId="0" fontId="6" fillId="7" borderId="8" xfId="0" applyNumberFormat="1" applyFont="1" applyFill="1" applyBorder="1" applyAlignment="1">
      <x:alignment vertical="center" wrapText="1"/>
    </x:xf>
    <x:xf numFmtId="0" fontId="6" fillId="7" borderId="9" xfId="0" applyNumberFormat="1" applyFont="1" applyFill="1" applyBorder="1" applyAlignment="1">
      <x:alignment vertical="center" wrapText="1"/>
    </x:xf>
  </x:cellXfs>
  <x:cellStyles count="1">
    <x:cellStyle name="Normal" xfId="0"/>
  </x:cellStyles>
  <x:dxfs count="2">
    <x:dxf>
      <x:font>
        <x:color rgb="FF15803D"/>
      </x:font>
      <x:fill>
        <x:patternFill patternType="solid">
          <x:bgColor rgb="FFE6F4F1"/>
        </x:patternFill>
      </x:fill>
    </x:dxf>
    <x:dxf>
      <x:font>
        <x:color rgb="FFEA580C"/>
      </x:font>
      <x:fill>
        <x:patternFill patternType="solid">
          <x:bgColor rgb="FFFFF1E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23f10492c304d70" /><Relationship Type="http://schemas.openxmlformats.org/officeDocument/2006/relationships/theme" Target="/xl/theme/theme1.xml" Id="R3d6ed6c68cb647af" /><Relationship Type="http://schemas.openxmlformats.org/officeDocument/2006/relationships/sharedStrings" Target="/xl/sharedStrings.xml" Id="R078ccd8637ba4e4f" /><Relationship Type="http://schemas.openxmlformats.org/officeDocument/2006/relationships/worksheet" Target="/xl/worksheets/sheet1.xml" Id="R83fc83a3069749a2" /><Relationship Type="http://schemas.openxmlformats.org/officeDocument/2006/relationships/worksheet" Target="/xl/worksheets/sheet2.xml" Id="Rc6aebea329d140bc" /><Relationship Type="http://schemas.openxmlformats.org/officeDocument/2006/relationships/worksheet" Target="/xl/worksheets/sheet3.xml" Id="R2fb63574df3b4760" /><Relationship Type="http://schemas.openxmlformats.org/officeDocument/2006/relationships/worksheet" Target="/xl/worksheets/sheet4.xml" Id="Rb13c57b762394ca0" /><Relationship Type="http://schemas.openxmlformats.org/officeDocument/2006/relationships/worksheet" Target="/xl/worksheets/sheet5.xml" Id="Rb0906a6d042f401a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fe66a162639d46ab" /><Relationship Type="http://schemas.openxmlformats.org/officeDocument/2006/relationships/chart" Target="/xl/drawings/charts/chart2.xml" Id="R9f1710e48c5e4d8f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DROID success by checkpoint</a:t>
            </a:r>
          </a:p>
        </c:rich>
      </c:tx>
    </c:title>
    <c:plotArea>
      <c:barChart>
        <c:barDir val="col"/>
        <c:varyColors val="0"/>
        <c:ser>
          <c:idx val="0"/>
          <c:order val="0"/>
          <c:tx>
            <c:v>Overall success</c:v>
          </c:tx>
          <c:cat>
            <c:strRef>
              <c:f>'Dashboard'!$A$12:$A$17</c:f>
              <c:strCache>
                <c:ptCount val="0"/>
              </c:strCache>
            </c:strRef>
          </c:cat>
          <c:val>
            <c:numRef>
              <c:f>'Dashboard'!$B$12:$B$17</c:f>
              <c:numCache>
                <c:formatCode>0%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75"/>
            </a:pPr>
          </a:p>
        </c:txPr>
        <c:crossAx val="48672768"/>
        <c:lblAlgn val="ctr"/>
        <c:lblOffset val="100"/>
        <c:noMultiLvlLbl val="0"/>
      </c:catAx>
      <c:valAx>
        <c:axId val="48672768"/>
        <c:scaling>
          <c:orientation val="minMax"/>
          <c:max val="1"/>
          <c:min val="0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%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RoboTwin success by checkpoint</a:t>
            </a:r>
          </a:p>
        </c:rich>
      </c:tx>
    </c:title>
    <c:plotArea>
      <c:barChart>
        <c:barDir val="col"/>
        <c:varyColors val="0"/>
        <c:ser>
          <c:idx val="0"/>
          <c:order val="0"/>
          <c:tx>
            <c:v>Overall success</c:v>
          </c:tx>
          <c:cat>
            <c:strRef>
              <c:f>'Dashboard'!$A$29:$A$33</c:f>
              <c:strCache>
                <c:ptCount val="0"/>
              </c:strCache>
            </c:strRef>
          </c:cat>
          <c:val>
            <c:numRef>
              <c:f>'Dashboard'!$B$29:$B$33</c:f>
              <c:numCache>
                <c:formatCode>0%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75"/>
            </a:pPr>
          </a:p>
        </c:txPr>
        <c:crossAx val="48672768"/>
        <c:lblAlgn val="ctr"/>
        <c:lblOffset val="100"/>
        <c:noMultiLvlLbl val="0"/>
      </c:catAx>
      <c:valAx>
        <c:axId val="48672768"/>
        <c:scaling>
          <c:orientation val="minMax"/>
          <c:max val="1"/>
          <c:min val="0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%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4</xdr:col>
      <xdr:colOff>0</xdr:colOff>
      <xdr:row>9</xdr:row>
      <xdr:rowOff>0</xdr:rowOff>
    </xdr:from>
    <xdr:to>
      <xdr:col>14</xdr:col>
      <xdr:colOff>0</xdr:colOff>
      <xdr:row>25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fe66a162639d46ab"/>
        </a:graphicData>
      </a:graphic>
    </xdr:graphicFrame>
    <xdr:clientData/>
  </xdr:twoCellAnchor>
  <xdr:twoCellAnchor>
    <xdr:from>
      <xdr:col>4</xdr:col>
      <xdr:colOff>0</xdr:colOff>
      <xdr:row>26</xdr:row>
      <xdr:rowOff>0</xdr:rowOff>
    </xdr:from>
    <xdr:to>
      <xdr:col>14</xdr:col>
      <xdr:colOff>0</xdr:colOff>
      <xdr:row>42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9f1710e48c5e4d8f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BehavioralResultsTable" displayName="BehavioralResultsTable" ref="A6:X17" headerRowCount="1" totalsRowCount="0" totalsRowShown="0">
  <x:tableColumns count="24">
    <x:tableColumn id="1" name="Arena"/>
    <x:tableColumn id="2" name="Class"/>
    <x:tableColumn id="3" name="Model"/>
    <x:tableColumn id="4" name="Valid episodes"/>
    <x:tableColumn id="5" name="LEFT successes"/>
    <x:tableColumn id="6" name="LEFT trials"/>
    <x:tableColumn id="7" name="LEFT rate"/>
    <x:tableColumn id="8" name="RIGHT successes"/>
    <x:tableColumn id="9" name="RIGHT trials"/>
    <x:tableColumn id="10" name="RIGHT rate"/>
    <x:tableColumn id="11" name="Total successes"/>
    <x:tableColumn id="12" name="Total trials"/>
    <x:tableColumn id="13" name="Overall success"/>
    <x:tableColumn id="14" name="Aligned pairs"/>
    <x:tableColumn id="15" name="Endpoint pairs"/>
    <x:tableColumn id="16" name="Alignment rate"/>
    <x:tableColumn id="17" name="Distinct-action pairs"/>
    <x:tableColumn id="18" name="Action pairs"/>
    <x:tableColumn id="19" name="Distinct-action rate"/>
    <x:tableColumn id="20" name="Invalid attempts"/>
    <x:tableColumn id="21" name="Future evidence status"/>
    <x:tableColumn id="22" name="Model ID"/>
    <x:tableColumn id="23" name="Hash-bearing evidence sources"/>
    <x:tableColumn id="24" name="Claim boundary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MediaInventoryTable" displayName="MediaInventoryTable" ref="A6:K42" headerRowCount="1" totalsRowCount="0" totalsRowShown="0">
  <x:tableColumns count="11">
    <x:tableColumn id="1" name="Class"/>
    <x:tableColumn id="2" name="Model"/>
    <x:tableColumn id="3" name="Arena"/>
    <x:tableColumn id="4" name="Evidence kind"/>
    <x:tableColumn id="5" name="Publication role"/>
    <x:tableColumn id="6" name="Canonical?"/>
    <x:tableColumn id="7" name="Repository path"/>
    <x:tableColumn id="8" name="Size (MiB)"/>
    <x:tableColumn id="9" name="Bytes"/>
    <x:tableColumn id="10" name="SHA-256"/>
    <x:tableColumn id="11" name="Source manifest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InterfaceProbeTable" displayName="InterfaceProbeTable" ref="A6:J10" headerRowCount="1" totalsRowCount="0" totalsRowShown="0">
  <x:tableColumns count="10">
    <x:tableColumn id="1" name="Model"/>
    <x:tableColumn id="2" name="Class"/>
    <x:tableColumn id="3" name="Scope"/>
    <x:tableColumn id="4" name="Behavioral episodes"/>
    <x:tableColumn id="5" name="Evidence type"/>
    <x:tableColumn id="6" name="Gate result"/>
    <x:tableColumn id="7" name="Execution video"/>
    <x:tableColumn id="8" name="Prediction video"/>
    <x:tableColumn id="9" name="Why no success score"/>
    <x:tableColumn id="10" name="Primary source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DefinitionsSourcesTable" displayName="DefinitionsSourcesTable" ref="A6:D14" headerRowCount="1" totalsRowCount="0" totalsRowShown="0">
  <x:tableColumns count="4">
    <x:tableColumn id="1" name="Item"/>
    <x:tableColumn id="2" name="Definition / purpose"/>
    <x:tableColumn id="3" name="Repository source"/>
    <x:tableColumn id="4" name="GitHub URL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55e05b5218ce4830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2a6a3924bcdb49a5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43ae14298fa3439b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bc745efaa6f54d33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4e2d8924d8304012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8" hidden="0" customWidth="1"/>
    <x:col min="4" max="4" width="3" hidden="0" customWidth="1"/>
    <x:col min="5" max="5" width="13" hidden="0" customWidth="1"/>
    <x:col min="6" max="6" width="13" hidden="0" customWidth="1"/>
    <x:col min="7" max="7" width="13" hidden="0" customWidth="1"/>
    <x:col min="8" max="8" width="13" hidden="0" customWidth="1"/>
    <x:col min="9" max="9" width="13" hidden="0" customWidth="1"/>
    <x:col min="10" max="10" width="13" hidden="0" customWidth="1"/>
    <x:col min="11" max="11" width="13" hidden="0" customWidth="1"/>
    <x:col min="12" max="12" width="13" hidden="0" customWidth="1"/>
    <x:col min="13" max="13" width="13" hidden="0" customWidth="1"/>
    <x:col min="14" max="14" width="13" hidden="0" customWidth="1"/>
  </x:cols>
  <x:sheetData>
    <x:row r="1">
      <x:c r="A1" s="3" t="str">
        <x:v>VLA/WAM language-steerability evidence dashboard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</x:row>
    <x:row r="2">
      <x:c r="A2" s="3"/>
      <x:c r="B2" s="3"/>
      <x:c r="C2" s="3"/>
      <x:c r="D2" s="3"/>
      <x:c r="E2" s="3"/>
      <x:c r="F2" s="3"/>
      <x:c r="G2" s="3"/>
      <x:c r="H2" s="3"/>
      <x:c r="I2" s="3"/>
      <x:c r="J2" s="3"/>
      <x:c r="K2" s="3"/>
      <x:c r="L2" s="3"/>
      <x:c r="M2" s="3"/>
      <x:c r="N2" s="3"/>
    </x:row>
    <x:row r="3">
      <x:c r="A3" s="7" t="str">
        <x:v>Success, endpoint alignment, action distinctness, and video availability. All rate calculations link to the behavioral source sheet; arenas remain separate.</x:v>
      </x:c>
      <x:c r="B3" s="7"/>
      <x:c r="C3" s="7"/>
      <x:c r="D3" s="7"/>
      <x:c r="E3" s="7"/>
      <x:c r="F3" s="7"/>
      <x:c r="G3" s="7"/>
      <x:c r="H3" s="7"/>
      <x:c r="I3" s="7"/>
      <x:c r="J3" s="7"/>
      <x:c r="K3" s="7"/>
      <x:c r="L3" s="7"/>
      <x:c r="M3" s="7"/>
      <x:c r="N3" s="7"/>
    </x:row>
    <x:row r="4">
      <x:c r="A4" s="7"/>
      <x:c r="B4" s="7"/>
      <x:c r="C4" s="7"/>
      <x:c r="D4" s="7"/>
      <x:c r="E4" s="7"/>
      <x:c r="F4" s="7"/>
      <x:c r="G4" s="7"/>
      <x:c r="H4" s="7"/>
      <x:c r="I4" s="7"/>
      <x:c r="J4" s="7"/>
      <x:c r="K4" s="7"/>
      <x:c r="L4" s="7"/>
      <x:c r="M4" s="7"/>
      <x:c r="N4" s="7"/>
    </x:row>
    <x:row r="6">
      <x:c r="A6" s="12" t="str">
        <x:v>Behavioral models</x:v>
      </x:c>
      <x:c r="B6" s="12" t="str">
        <x:v>DROID valid episodes</x:v>
      </x:c>
      <x:c r="C6" s="12" t="str">
        <x:v>RoboTwin valid episodes</x:v>
      </x:c>
      <x:c r="E6" s="12" t="str">
        <x:v>Canonical execution videos</x:v>
      </x:c>
      <x:c r="F6" s="12" t="str">
        <x:v>Canonical predictions</x:v>
      </x:c>
      <x:c r="G6" s="12" t="str">
        <x:v>Committed MP4s</x:v>
      </x:c>
    </x:row>
    <x:row r="7">
      <x:c r="A7" s="24" t="n">
        <x:f>COUNTA('Behavioral Results'!C7:C17)</x:f>
        <x:v>11</x:v>
      </x:c>
      <x:c r="B7" s="24" t="n">
        <x:f>SUMIF('Behavioral Results'!A7:A17,"DROID / RoboLab",'Behavioral Results'!D7:D17)</x:f>
        <x:v>50</x:v>
      </x:c>
      <x:c r="C7" s="24" t="n">
        <x:f>SUMIF('Behavioral Results'!A7:A17,"RoboTwin place-A-relative-to-B",'Behavioral Results'!D7:D17)</x:f>
        <x:v>54</x:v>
      </x:c>
      <x:c r="E7" s="28" t="n">
        <x:f>COUNTIFS('Media Inventory'!D7:D42,"actual rollout",'Media Inventory'!F7:F42,"Yes")</x:f>
        <x:v>15</x:v>
      </x:c>
      <x:c r="F7" s="28" t="n">
        <x:f>COUNTIFS('Media Inventory'!F7:F42,"Yes")-E7</x:f>
        <x:v>6</x:v>
      </x:c>
      <x:c r="G7" s="28" t="n">
        <x:f>COUNTA('Media Inventory'!G7:G42)</x:f>
        <x:v>36</x:v>
      </x:c>
    </x:row>
    <x:row r="11">
      <x:c r="A11" s="12" t="str">
        <x:v>DROID / RoboLab model</x:v>
      </x:c>
      <x:c r="B11" s="12" t="str">
        <x:v>Overall success</x:v>
      </x:c>
      <x:c r="C11" s="12" t="str">
        <x:v>Endpoint alignment</x:v>
      </x:c>
    </x:row>
    <x:row r="12">
      <x:c r="A12" s="15" t="str">
        <x:f>'Behavioral Results'!C7</x:f>
        <x:v>π0-FAST DROID</x:v>
      </x:c>
      <x:c r="B12" s="32" t="n">
        <x:f>'Behavioral Results'!M7</x:f>
        <x:v>0.55</x:v>
      </x:c>
      <x:c r="C12" s="32" t="n">
        <x:f>'Behavioral Results'!P7</x:f>
        <x:v>1</x:v>
      </x:c>
    </x:row>
    <x:row r="13">
      <x:c r="A13" s="15" t="str">
        <x:f>'Behavioral Results'!C8</x:f>
        <x:v>π0.5 DROID — current-stack V2-A010</x:v>
      </x:c>
      <x:c r="B13" s="32" t="n">
        <x:f>'Behavioral Results'!M8</x:f>
        <x:v>0.6666666666666666</x:v>
      </x:c>
      <x:c r="C13" s="32" t="n">
        <x:f>'Behavioral Results'!P8</x:f>
        <x:v>1</x:v>
      </x:c>
    </x:row>
    <x:row r="14">
      <x:c r="A14" s="15" t="str">
        <x:f>'Behavioral Results'!C9</x:f>
        <x:v>Cosmos3 Nano Policy DROID — V2-A011</x:v>
      </x:c>
      <x:c r="B14" s="32" t="n">
        <x:f>'Behavioral Results'!M9</x:f>
        <x:v>1</x:v>
      </x:c>
      <x:c r="C14" s="32" t="n">
        <x:f>'Behavioral Results'!P9</x:f>
        <x:v>1</x:v>
      </x:c>
    </x:row>
    <x:row r="15">
      <x:c r="A15" s="15" t="str">
        <x:f>'Behavioral Results'!C10</x:f>
        <x:v>GR00T N1.7 DROID</x:v>
      </x:c>
      <x:c r="B15" s="32" t="n">
        <x:f>'Behavioral Results'!M10</x:f>
        <x:v>0</x:v>
      </x:c>
      <x:c r="C15" s="32" t="n">
        <x:f>'Behavioral Results'!P10</x:f>
        <x:v>1</x:v>
      </x:c>
    </x:row>
    <x:row r="16">
      <x:c r="A16" s="15" t="str">
        <x:f>'Behavioral Results'!C11</x:f>
        <x:v>Cosmos3 Edge DROID</x:v>
      </x:c>
      <x:c r="B16" s="32" t="n">
        <x:f>'Behavioral Results'!M11</x:f>
        <x:v>1</x:v>
      </x:c>
      <x:c r="C16" s="32" t="n">
        <x:f>'Behavioral Results'!P11</x:f>
        <x:v>1</x:v>
      </x:c>
    </x:row>
    <x:row r="17">
      <x:c r="A17" s="15" t="str">
        <x:f>'Behavioral Results'!C12</x:f>
        <x:v>DreamZero DROID</x:v>
      </x:c>
      <x:c r="B17" s="32" t="n">
        <x:f>'Behavioral Results'!M12</x:f>
        <x:v>0.5</x:v>
      </x:c>
      <x:c r="C17" s="32" t="n">
        <x:f>'Behavioral Results'!P12</x:f>
        <x:v>1</x:v>
      </x:c>
    </x:row>
    <x:row r="28">
      <x:c r="A28" s="12" t="str">
        <x:v>RoboTwin model</x:v>
      </x:c>
      <x:c r="B28" s="12" t="str">
        <x:v>Overall success</x:v>
      </x:c>
      <x:c r="C28" s="12" t="str">
        <x:v>Endpoint alignment</x:v>
      </x:c>
    </x:row>
    <x:row r="29">
      <x:c r="A29" s="15" t="str">
        <x:f>'Behavioral Results'!C13</x:f>
        <x:v>LingBot-VLA 4B</x:v>
      </x:c>
      <x:c r="B29" s="32" t="n">
        <x:f>'Behavioral Results'!M13</x:f>
        <x:v>0.16666666666666666</x:v>
      </x:c>
      <x:c r="C29" s="32" t="n">
        <x:f>'Behavioral Results'!P13</x:f>
        <x:v>0.6666666666666666</x:v>
      </x:c>
    </x:row>
    <x:row r="30">
      <x:c r="A30" s="15" t="str">
        <x:f>'Behavioral Results'!C14</x:f>
        <x:v>Efficient-WAM-RT</x:v>
      </x:c>
      <x:c r="B30" s="32" t="n">
        <x:f>'Behavioral Results'!M14</x:f>
        <x:v>0.35714285714285715</x:v>
      </x:c>
      <x:c r="C30" s="32" t="n">
        <x:f>'Behavioral Results'!P14</x:f>
        <x:v>0.8571428571428571</x:v>
      </x:c>
    </x:row>
    <x:row r="31">
      <x:c r="A31" s="15" t="str">
        <x:f>'Behavioral Results'!C15</x:f>
        <x:v>FastWAM</x:v>
      </x:c>
      <x:c r="B31" s="32" t="n">
        <x:f>'Behavioral Results'!M15</x:f>
        <x:v>0.14285714285714285</x:v>
      </x:c>
      <x:c r="C31" s="32" t="n">
        <x:f>'Behavioral Results'!P15</x:f>
        <x:v>0.42857142857142855</x:v>
      </x:c>
    </x:row>
    <x:row r="32">
      <x:c r="A32" s="15" t="str">
        <x:f>'Behavioral Results'!C16</x:f>
        <x:v>LingBot-VA</x:v>
      </x:c>
      <x:c r="B32" s="32" t="n">
        <x:f>'Behavioral Results'!M16</x:f>
        <x:v>0.5</x:v>
      </x:c>
      <x:c r="C32" s="32" t="n">
        <x:f>'Behavioral Results'!P16</x:f>
        <x:v>0.8571428571428571</x:v>
      </x:c>
    </x:row>
    <x:row r="33">
      <x:c r="A33" s="15" t="str">
        <x:f>'Behavioral Results'!C17</x:f>
        <x:v>Light-WAM</x:v>
      </x:c>
      <x:c r="B33" s="32" t="n">
        <x:f>'Behavioral Results'!M17</x:f>
        <x:v>0.16666666666666666</x:v>
      </x:c>
      <x:c r="C33" s="32" t="n">
        <x:f>'Behavioral Results'!P17</x:f>
        <x:v>0.3333333333333333</x:v>
      </x:c>
    </x:row>
    <x:row r="45">
      <x:c r="A45" s="52" t="str">
        <x:v>Interpretation: many checkpoints changed actions and correctly ordered endpoints even when task completion failed. Prediction/imagination media is therefore shown beside—but never counted as—execution.</x:v>
      </x:c>
      <x:c r="B45" s="53"/>
      <x:c r="C45" s="53"/>
      <x:c r="D45" s="53"/>
      <x:c r="E45" s="53"/>
      <x:c r="F45" s="53"/>
      <x:c r="G45" s="53"/>
      <x:c r="H45" s="53"/>
      <x:c r="I45" s="53"/>
      <x:c r="J45" s="53"/>
      <x:c r="K45" s="53"/>
      <x:c r="L45" s="53"/>
      <x:c r="M45" s="53"/>
      <x:c r="N45" s="54"/>
    </x:row>
    <x:row r="46">
      <x:c r="A46" s="55"/>
      <x:c r="B46" s="56"/>
      <x:c r="C46" s="56"/>
      <x:c r="D46" s="56"/>
      <x:c r="E46" s="56"/>
      <x:c r="F46" s="56"/>
      <x:c r="G46" s="56"/>
      <x:c r="H46" s="56"/>
      <x:c r="I46" s="56"/>
      <x:c r="J46" s="56"/>
      <x:c r="K46" s="56"/>
      <x:c r="L46" s="56"/>
      <x:c r="M46" s="56"/>
      <x:c r="N46" s="57"/>
    </x:row>
    <x:row r="47">
      <x:c r="A47" s="58"/>
      <x:c r="B47" s="59"/>
      <x:c r="C47" s="59"/>
      <x:c r="D47" s="59"/>
      <x:c r="E47" s="59"/>
      <x:c r="F47" s="59"/>
      <x:c r="G47" s="59"/>
      <x:c r="H47" s="59"/>
      <x:c r="I47" s="59"/>
      <x:c r="J47" s="59"/>
      <x:c r="K47" s="59"/>
      <x:c r="L47" s="59"/>
      <x:c r="M47" s="59"/>
      <x:c r="N47" s="60"/>
    </x:row>
  </x:sheetData>
  <x:mergeCells>
    <x:mergeCell ref="A1:N2"/>
    <x:mergeCell ref="A3:N4"/>
    <x:mergeCell ref="A45:N47"/>
  </x:mergeCells>
  <x:pageMargins left="0.7" right="0.7" top="0.75" bottom="0.75" header="0.3" footer="0.3"/>
  <x:drawing xmlns:r="http://schemas.openxmlformats.org/officeDocument/2006/relationships" r:id="R55e05b5218ce4830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10" hidden="0" customWidth="1"/>
    <x:col min="3" max="3" width="36" hidden="0" customWidth="1"/>
    <x:col min="4" max="4" width="13" hidden="0" customWidth="1"/>
    <x:col min="5" max="5" width="13" hidden="0" customWidth="1"/>
    <x:col min="6" max="6" width="13" hidden="0" customWidth="1"/>
    <x:col min="7" max="7" width="13" hidden="0" customWidth="1"/>
    <x:col min="8" max="8" width="13" hidden="0" customWidth="1"/>
    <x:col min="9" max="9" width="13" hidden="0" customWidth="1"/>
    <x:col min="10" max="10" width="13" hidden="0" customWidth="1"/>
    <x:col min="11" max="11" width="13" hidden="0" customWidth="1"/>
    <x:col min="12" max="12" width="13" hidden="0" customWidth="1"/>
    <x:col min="13" max="13" width="13" hidden="0" customWidth="1"/>
    <x:col min="14" max="14" width="13" hidden="0" customWidth="1"/>
    <x:col min="15" max="15" width="13" hidden="0" customWidth="1"/>
    <x:col min="16" max="16" width="13" hidden="0" customWidth="1"/>
    <x:col min="17" max="17" width="13" hidden="0" customWidth="1"/>
    <x:col min="18" max="18" width="13" hidden="0" customWidth="1"/>
    <x:col min="19" max="19" width="13" hidden="0" customWidth="1"/>
    <x:col min="20" max="20" width="13" hidden="0" customWidth="1"/>
    <x:col min="21" max="21" width="32" hidden="0" customWidth="1"/>
    <x:col min="22" max="22" width="30" hidden="0" customWidth="1"/>
    <x:col min="23" max="23" width="58" hidden="0" customWidth="1"/>
    <x:col min="24" max="24" width="58" hidden="0" customWidth="1"/>
  </x:cols>
  <x:sheetData>
    <x:row r="1">
      <x:c r="A1" s="3" t="str">
        <x:v>Behavioral results — exact counts and formula-derived rates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  <x:c r="P1" s="3"/>
      <x:c r="Q1" s="3"/>
      <x:c r="R1" s="3"/>
      <x:c r="S1" s="3"/>
      <x:c r="T1" s="3"/>
      <x:c r="U1" s="3"/>
      <x:c r="V1" s="3"/>
      <x:c r="W1" s="3"/>
      <x:c r="X1" s="3"/>
    </x:row>
    <x:row r="2">
      <x:c r="A2" s="3"/>
      <x:c r="B2" s="3"/>
      <x:c r="C2" s="3"/>
      <x:c r="D2" s="3"/>
      <x:c r="E2" s="3"/>
      <x:c r="F2" s="3"/>
      <x:c r="G2" s="3"/>
      <x:c r="H2" s="3"/>
      <x:c r="I2" s="3"/>
      <x:c r="J2" s="3"/>
      <x:c r="K2" s="3"/>
      <x:c r="L2" s="3"/>
      <x:c r="M2" s="3"/>
      <x:c r="N2" s="3"/>
      <x:c r="O2" s="3"/>
      <x:c r="P2" s="3"/>
      <x:c r="Q2" s="3"/>
      <x:c r="R2" s="3"/>
      <x:c r="S2" s="3"/>
      <x:c r="T2" s="3"/>
      <x:c r="U2" s="3"/>
      <x:c r="V2" s="3"/>
      <x:c r="W2" s="3"/>
      <x:c r="X2" s="3"/>
    </x:row>
    <x:row r="3">
      <x:c r="A3" s="7" t="str">
        <x:v>DROID/RoboLab and RoboTwin are separate arenas. Infrastructure-invalid attempts are excluded; missing metrics remain blank, never zero.</x:v>
      </x:c>
      <x:c r="B3" s="7"/>
      <x:c r="C3" s="7"/>
      <x:c r="D3" s="7"/>
      <x:c r="E3" s="7"/>
      <x:c r="F3" s="7"/>
      <x:c r="G3" s="7"/>
      <x:c r="H3" s="7"/>
      <x:c r="I3" s="7"/>
      <x:c r="J3" s="7"/>
      <x:c r="K3" s="7"/>
      <x:c r="L3" s="7"/>
      <x:c r="M3" s="7"/>
      <x:c r="N3" s="7"/>
      <x:c r="O3" s="7"/>
      <x:c r="P3" s="7"/>
      <x:c r="Q3" s="7"/>
      <x:c r="R3" s="7"/>
      <x:c r="S3" s="7"/>
      <x:c r="T3" s="7"/>
      <x:c r="U3" s="7"/>
      <x:c r="V3" s="7"/>
      <x:c r="W3" s="7"/>
      <x:c r="X3" s="7"/>
    </x:row>
    <x:row r="4">
      <x:c r="A4" s="7"/>
      <x:c r="B4" s="7"/>
      <x:c r="C4" s="7"/>
      <x:c r="D4" s="7"/>
      <x:c r="E4" s="7"/>
      <x:c r="F4" s="7"/>
      <x:c r="G4" s="7"/>
      <x:c r="H4" s="7"/>
      <x:c r="I4" s="7"/>
      <x:c r="J4" s="7"/>
      <x:c r="K4" s="7"/>
      <x:c r="L4" s="7"/>
      <x:c r="M4" s="7"/>
      <x:c r="N4" s="7"/>
      <x:c r="O4" s="7"/>
      <x:c r="P4" s="7"/>
      <x:c r="Q4" s="7"/>
      <x:c r="R4" s="7"/>
      <x:c r="S4" s="7"/>
      <x:c r="T4" s="7"/>
      <x:c r="U4" s="7"/>
      <x:c r="V4" s="7"/>
      <x:c r="W4" s="7"/>
      <x:c r="X4" s="7"/>
    </x:row>
    <x:row r="6">
      <x:c r="A6" s="12" t="str">
        <x:v>Arena</x:v>
      </x:c>
      <x:c r="B6" s="12" t="str">
        <x:v>Class</x:v>
      </x:c>
      <x:c r="C6" s="12" t="str">
        <x:v>Model</x:v>
      </x:c>
      <x:c r="D6" s="12" t="str">
        <x:v>Valid episodes</x:v>
      </x:c>
      <x:c r="E6" s="12" t="str">
        <x:v>LEFT successes</x:v>
      </x:c>
      <x:c r="F6" s="12" t="str">
        <x:v>LEFT trials</x:v>
      </x:c>
      <x:c r="G6" s="12" t="str">
        <x:v>LEFT rate</x:v>
      </x:c>
      <x:c r="H6" s="12" t="str">
        <x:v>RIGHT successes</x:v>
      </x:c>
      <x:c r="I6" s="12" t="str">
        <x:v>RIGHT trials</x:v>
      </x:c>
      <x:c r="J6" s="12" t="str">
        <x:v>RIGHT rate</x:v>
      </x:c>
      <x:c r="K6" s="12" t="str">
        <x:v>Total successes</x:v>
      </x:c>
      <x:c r="L6" s="12" t="str">
        <x:v>Total trials</x:v>
      </x:c>
      <x:c r="M6" s="12" t="str">
        <x:v>Overall success</x:v>
      </x:c>
      <x:c r="N6" s="12" t="str">
        <x:v>Aligned pairs</x:v>
      </x:c>
      <x:c r="O6" s="12" t="str">
        <x:v>Endpoint pairs</x:v>
      </x:c>
      <x:c r="P6" s="12" t="str">
        <x:v>Alignment rate</x:v>
      </x:c>
      <x:c r="Q6" s="12" t="str">
        <x:v>Distinct-action pairs</x:v>
      </x:c>
      <x:c r="R6" s="12" t="str">
        <x:v>Action pairs</x:v>
      </x:c>
      <x:c r="S6" s="12" t="str">
        <x:v>Distinct-action rate</x:v>
      </x:c>
      <x:c r="T6" s="12" t="str">
        <x:v>Invalid attempts</x:v>
      </x:c>
      <x:c r="U6" s="12" t="str">
        <x:v>Future evidence status</x:v>
      </x:c>
      <x:c r="V6" s="12" t="str">
        <x:v>Model ID</x:v>
      </x:c>
      <x:c r="W6" s="12" t="str">
        <x:v>Hash-bearing evidence sources</x:v>
      </x:c>
      <x:c r="X6" s="12" t="str">
        <x:v>Claim boundary</x:v>
      </x:c>
    </x:row>
    <x:row r="7">
      <x:c r="A7" s="17" t="str">
        <x:v>DROID / RoboLab</x:v>
      </x:c>
      <x:c r="B7" s="17" t="str">
        <x:v>VLA</x:v>
      </x:c>
      <x:c r="C7" s="17" t="str">
        <x:v>π0-FAST DROID</x:v>
      </x:c>
      <x:c r="D7" s="17" t="n">
        <x:v>20</x:v>
      </x:c>
      <x:c r="E7" s="17" t="n">
        <x:v>1</x:v>
      </x:c>
      <x:c r="F7" s="17" t="n">
        <x:v>10</x:v>
      </x:c>
      <x:c r="G7" s="18" t="n">
        <x:f>IFERROR(E7/F7,"")</x:f>
        <x:v>0.1</x:v>
      </x:c>
      <x:c r="H7" s="17" t="n">
        <x:v>10</x:v>
      </x:c>
      <x:c r="I7" s="17" t="n">
        <x:v>10</x:v>
      </x:c>
      <x:c r="J7" s="18" t="n">
        <x:f>IFERROR(H7/I7,"")</x:f>
        <x:v>1</x:v>
      </x:c>
      <x:c r="K7" s="17" t="n">
        <x:f>E7+H7</x:f>
        <x:v>11</x:v>
      </x:c>
      <x:c r="L7" s="17" t="n">
        <x:f>F7+I7</x:f>
        <x:v>20</x:v>
      </x:c>
      <x:c r="M7" s="18" t="n">
        <x:f>IFERROR(K7/L7,"")</x:f>
        <x:v>0.55</x:v>
      </x:c>
      <x:c r="N7" s="17" t="n">
        <x:v>10</x:v>
      </x:c>
      <x:c r="O7" s="17" t="n">
        <x:v>10</x:v>
      </x:c>
      <x:c r="P7" s="18" t="n">
        <x:f>IFERROR(N7/O7,"")</x:f>
        <x:v>1</x:v>
      </x:c>
      <x:c r="Q7" s="17" t="n">
        <x:v>10</x:v>
      </x:c>
      <x:c r="R7" s="17" t="n">
        <x:v>10</x:v>
      </x:c>
      <x:c r="S7" s="18" t="n">
        <x:f>IFERROR(Q7/R7,"")</x:f>
        <x:v>1</x:v>
      </x:c>
      <x:c r="T7" s="17" t="n">
        <x:v>0</x:v>
      </x:c>
      <x:c r="U7" s="17" t="str">
        <x:v>not_applicable_never_zero</x:v>
      </x:c>
      <x:c r="V7" s="17" t="str">
        <x:v>pi0_fast_droid_vla</x:v>
      </x:c>
      <x:c r="W7" s="17" t="str">
        <x:v>artifacts/vla_wam_shared_v2/pilot/results/pi0_fast_direct_confirmation.json@sha256:491c74812ed0e4d36c16f8e0ded17a70af3e69740c9bcb87af129bb6d9563073</x:v>
      </x:c>
      <x:c r="X7" s="17" t="str">
        <x:v>Frozen ten-seed direct-command directional confirmation.</x:v>
      </x:c>
    </x:row>
    <x:row r="8">
      <x:c r="A8" s="17" t="str">
        <x:v>DROID / RoboLab</x:v>
      </x:c>
      <x:c r="B8" s="17" t="str">
        <x:v>VLA</x:v>
      </x:c>
      <x:c r="C8" s="17" t="str">
        <x:v>π0.5 DROID — current-stack V2-A010</x:v>
      </x:c>
      <x:c r="D8" s="17" t="n">
        <x:v>6</x:v>
      </x:c>
      <x:c r="E8" s="17" t="n">
        <x:v>1</x:v>
      </x:c>
      <x:c r="F8" s="17" t="n">
        <x:v>3</x:v>
      </x:c>
      <x:c r="G8" s="18" t="n">
        <x:f>IFERROR(E8/F8,"")</x:f>
        <x:v>0.3333333333333333</x:v>
      </x:c>
      <x:c r="H8" s="17" t="n">
        <x:v>3</x:v>
      </x:c>
      <x:c r="I8" s="17" t="n">
        <x:v>3</x:v>
      </x:c>
      <x:c r="J8" s="18" t="n">
        <x:f>IFERROR(H8/I8,"")</x:f>
        <x:v>1</x:v>
      </x:c>
      <x:c r="K8" s="17" t="n">
        <x:f>E8+H8</x:f>
        <x:v>4</x:v>
      </x:c>
      <x:c r="L8" s="17" t="n">
        <x:f>F8+I8</x:f>
        <x:v>6</x:v>
      </x:c>
      <x:c r="M8" s="18" t="n">
        <x:f>IFERROR(K8/L8,"")</x:f>
        <x:v>0.6666666666666666</x:v>
      </x:c>
      <x:c r="N8" s="17" t="n">
        <x:v>3</x:v>
      </x:c>
      <x:c r="O8" s="17" t="n">
        <x:v>3</x:v>
      </x:c>
      <x:c r="P8" s="18" t="n">
        <x:f>IFERROR(N8/O8,"")</x:f>
        <x:v>1</x:v>
      </x:c>
      <x:c r="Q8" s="17" t="n">
        <x:v>3</x:v>
      </x:c>
      <x:c r="R8" s="17" t="n">
        <x:v>3</x:v>
      </x:c>
      <x:c r="S8" s="18" t="n">
        <x:f>IFERROR(Q8/R8,"")</x:f>
        <x:v>1</x:v>
      </x:c>
      <x:c r="T8" s="17" t="n">
        <x:v>0</x:v>
      </x:c>
      <x:c r="U8" s="17" t="str">
        <x:v>not_applicable_never_zero</x:v>
      </x:c>
      <x:c r="V8" s="17" t="str">
        <x:v>pi05_current_stack_v2a010</x:v>
      </x:c>
      <x:c r="W8" s="17" t="str">
        <x:v>artifacts/vla_wam_shared_v2/pilot/expansion/pi05_current_stack_v2a010_direct_gate.json@sha256:0c54758fe316764dbca3299d7b665e3edf59412410d844a1f825abad92045f0c</x:v>
      </x:c>
      <x:c r="X8" s="17" t="str">
        <x:v>Separate V2-A010 current-stack six-cell gate; never merged with historical v1 π0.5 or the V2-A008 π0-FAST wording replication.</x:v>
      </x:c>
    </x:row>
    <x:row r="9">
      <x:c r="A9" s="17" t="str">
        <x:v>DROID / RoboLab</x:v>
      </x:c>
      <x:c r="B9" s="17" t="str">
        <x:v>WAM</x:v>
      </x:c>
      <x:c r="C9" s="17" t="str">
        <x:v>Cosmos3 Nano Policy DROID — V2-A011</x:v>
      </x:c>
      <x:c r="D9" s="17" t="n">
        <x:v>6</x:v>
      </x:c>
      <x:c r="E9" s="17" t="n">
        <x:v>3</x:v>
      </x:c>
      <x:c r="F9" s="17" t="n">
        <x:v>3</x:v>
      </x:c>
      <x:c r="G9" s="18" t="n">
        <x:f>IFERROR(E9/F9,"")</x:f>
        <x:v>1</x:v>
      </x:c>
      <x:c r="H9" s="17" t="n">
        <x:v>3</x:v>
      </x:c>
      <x:c r="I9" s="17" t="n">
        <x:v>3</x:v>
      </x:c>
      <x:c r="J9" s="18" t="n">
        <x:f>IFERROR(H9/I9,"")</x:f>
        <x:v>1</x:v>
      </x:c>
      <x:c r="K9" s="17" t="n">
        <x:f>E9+H9</x:f>
        <x:v>6</x:v>
      </x:c>
      <x:c r="L9" s="17" t="n">
        <x:f>F9+I9</x:f>
        <x:v>6</x:v>
      </x:c>
      <x:c r="M9" s="18" t="n">
        <x:f>IFERROR(K9/L9,"")</x:f>
        <x:v>1</x:v>
      </x:c>
      <x:c r="N9" s="17" t="n">
        <x:v>3</x:v>
      </x:c>
      <x:c r="O9" s="17" t="n">
        <x:v>3</x:v>
      </x:c>
      <x:c r="P9" s="18" t="n">
        <x:f>IFERROR(N9/O9,"")</x:f>
        <x:v>1</x:v>
      </x:c>
      <x:c r="Q9" s="17" t="n">
        <x:v>3</x:v>
      </x:c>
      <x:c r="R9" s="17" t="n">
        <x:v>3</x:v>
      </x:c>
      <x:c r="S9" s="18" t="n">
        <x:f>IFERROR(Q9/R9,"")</x:f>
        <x:v>1</x:v>
      </x:c>
      <x:c r="T9" s="17" t="n">
        <x:v>2</x:v>
      </x:c>
      <x:c r="U9" s="17" t="str">
        <x:v>exposed_and_retained_37_decoded_futures</x:v>
      </x:c>
      <x:c r="V9" s="17" t="str">
        <x:v>cosmos3_nano_policy_droid</x:v>
      </x:c>
      <x:c r="W9" s="17" t="str">
        <x:v>artifacts/vla_wam_shared_v2/pilot/expansion/cosmos3_nano_policy_droid_direct_gate.json@sha256:4a6cc1d61593c7ba5272e1707f6bbe51261f7d23438070992bd75fd9e95fdb93; artifacts/vla_wam_shared_v2/pilot/expansion/cosmos3_nano_policy_droid_invalid_attempts.json@sha256:baa4ea6254d7b181a62247b8acc2c1e2b7e918633ab14b39123de2f9519bfcf8</x:v>
      </x:c>
      <x:c r="X9" s="17" t="str">
        <x:v>Separate V2-A011 current-stack six-cell Nano gate; never pooled with Cosmos3 Edge, Cosmos-Reason2, historical VLA evidence, or RoboTwin.</x:v>
      </x:c>
    </x:row>
    <x:row r="10">
      <x:c r="A10" s="17" t="str">
        <x:v>DROID / RoboLab</x:v>
      </x:c>
      <x:c r="B10" s="17" t="str">
        <x:v>VLA</x:v>
      </x:c>
      <x:c r="C10" s="17" t="str">
        <x:v>GR00T N1.7 DROID</x:v>
      </x:c>
      <x:c r="D10" s="17" t="n">
        <x:v>6</x:v>
      </x:c>
      <x:c r="E10" s="17" t="n">
        <x:v>0</x:v>
      </x:c>
      <x:c r="F10" s="17" t="n">
        <x:v>3</x:v>
      </x:c>
      <x:c r="G10" s="18" t="n">
        <x:f>IFERROR(E10/F10,"")</x:f>
        <x:v>0</x:v>
      </x:c>
      <x:c r="H10" s="17" t="n">
        <x:v>0</x:v>
      </x:c>
      <x:c r="I10" s="17" t="n">
        <x:v>3</x:v>
      </x:c>
      <x:c r="J10" s="18" t="n">
        <x:f>IFERROR(H10/I10,"")</x:f>
        <x:v>0</x:v>
      </x:c>
      <x:c r="K10" s="17" t="n">
        <x:f>E10+H10</x:f>
        <x:v>0</x:v>
      </x:c>
      <x:c r="L10" s="17" t="n">
        <x:f>F10+I10</x:f>
        <x:v>6</x:v>
      </x:c>
      <x:c r="M10" s="18" t="n">
        <x:f>IFERROR(K10/L10,"")</x:f>
        <x:v>0</x:v>
      </x:c>
      <x:c r="N10" s="17" t="n">
        <x:v>3</x:v>
      </x:c>
      <x:c r="O10" s="17" t="n">
        <x:v>3</x:v>
      </x:c>
      <x:c r="P10" s="18" t="n">
        <x:f>IFERROR(N10/O10,"")</x:f>
        <x:v>1</x:v>
      </x:c>
      <x:c r="Q10" s="17" t="n">
        <x:v>3</x:v>
      </x:c>
      <x:c r="R10" s="17" t="n">
        <x:v>3</x:v>
      </x:c>
      <x:c r="S10" s="18" t="n">
        <x:f>IFERROR(Q10/R10,"")</x:f>
        <x:v>1</x:v>
      </x:c>
      <x:c r="T10" s="17" t="n">
        <x:v>5</x:v>
      </x:c>
      <x:c r="U10" s="17" t="str">
        <x:v>not_applicable_never_zero</x:v>
      </x:c>
      <x:c r="V10" s="17" t="str">
        <x:v>groot_n17_droid</x:v>
      </x:c>
      <x:c r="W10" s="17" t="str">
        <x:v>artifacts/vla_wam_shared_v2/pilot/expansion/groot_n17_droid_v2_registry.json@sha256:95077a42bb0115bc673ea13ae5acdc6fdef6f476627804662f73c219ebd88bc7</x:v>
      </x:c>
      <x:c r="X10" s="17" t="str">
        <x:v>V2-A005 bounded six-cell direct-command replication.</x:v>
      </x:c>
    </x:row>
    <x:row r="11">
      <x:c r="A11" s="17" t="str">
        <x:v>DROID / RoboLab</x:v>
      </x:c>
      <x:c r="B11" s="17" t="str">
        <x:v>WAM</x:v>
      </x:c>
      <x:c r="C11" s="17" t="str">
        <x:v>Cosmos3 Edge DROID</x:v>
      </x:c>
      <x:c r="D11" s="17" t="n">
        <x:v>6</x:v>
      </x:c>
      <x:c r="E11" s="17" t="n">
        <x:v>3</x:v>
      </x:c>
      <x:c r="F11" s="17" t="n">
        <x:v>3</x:v>
      </x:c>
      <x:c r="G11" s="18" t="n">
        <x:f>IFERROR(E11/F11,"")</x:f>
        <x:v>1</x:v>
      </x:c>
      <x:c r="H11" s="17" t="n">
        <x:v>3</x:v>
      </x:c>
      <x:c r="I11" s="17" t="n">
        <x:v>3</x:v>
      </x:c>
      <x:c r="J11" s="18" t="n">
        <x:f>IFERROR(H11/I11,"")</x:f>
        <x:v>1</x:v>
      </x:c>
      <x:c r="K11" s="17" t="n">
        <x:f>E11+H11</x:f>
        <x:v>6</x:v>
      </x:c>
      <x:c r="L11" s="17" t="n">
        <x:f>F11+I11</x:f>
        <x:v>6</x:v>
      </x:c>
      <x:c r="M11" s="18" t="n">
        <x:f>IFERROR(K11/L11,"")</x:f>
        <x:v>1</x:v>
      </x:c>
      <x:c r="N11" s="17" t="n">
        <x:v>3</x:v>
      </x:c>
      <x:c r="O11" s="17" t="n">
        <x:v>3</x:v>
      </x:c>
      <x:c r="P11" s="18" t="n">
        <x:f>IFERROR(N11/O11,"")</x:f>
        <x:v>1</x:v>
      </x:c>
      <x:c r="Q11" s="17" t="n">
        <x:v>3</x:v>
      </x:c>
      <x:c r="R11" s="17" t="n">
        <x:v>3</x:v>
      </x:c>
      <x:c r="S11" s="18" t="n">
        <x:f>IFERROR(Q11/R11,"")</x:f>
        <x:v>1</x:v>
      </x:c>
      <x:c r="T11" s="17" t="n">
        <x:v>8</x:v>
      </x:c>
      <x:c r="U11" s="17" t="str">
        <x:v>exposed_and_retained</x:v>
      </x:c>
      <x:c r="V11" s="17" t="str">
        <x:v>cosmos3_edge_droid_wam</x:v>
      </x:c>
      <x:c r="W11" s="17" t="str">
        <x:v>artifacts/vla_wam_shared_v2/pilot/expansion/cosmos3_edge_droid_direct_gate.json@sha256:1c559ee5667ac9d22d7b66eafa7a65551783eedaf7fb3de29a2faf450c2dd029; artifacts/vla_wam_shared_v2/pilot/expansion/cosmos3_edge_droid_invalid_attempts.json@sha256:b3a62c792c82d15143ef6c94b768e2bcf712dd69d9c2f96584c904140a452754</x:v>
      </x:c>
      <x:c r="X11" s="17" t="str">
        <x:v>V2-A005 six-cell behavioral replication; separate from v1.</x:v>
      </x:c>
    </x:row>
    <x:row r="12">
      <x:c r="A12" s="17" t="str">
        <x:v>DROID / RoboLab</x:v>
      </x:c>
      <x:c r="B12" s="17" t="str">
        <x:v>WAM</x:v>
      </x:c>
      <x:c r="C12" s="17" t="str">
        <x:v>DreamZero DROID</x:v>
      </x:c>
      <x:c r="D12" s="17" t="n">
        <x:v>6</x:v>
      </x:c>
      <x:c r="E12" s="17" t="n">
        <x:v>2</x:v>
      </x:c>
      <x:c r="F12" s="17" t="n">
        <x:v>3</x:v>
      </x:c>
      <x:c r="G12" s="18" t="n">
        <x:f>IFERROR(E12/F12,"")</x:f>
        <x:v>0.6666666666666666</x:v>
      </x:c>
      <x:c r="H12" s="17" t="n">
        <x:v>1</x:v>
      </x:c>
      <x:c r="I12" s="17" t="n">
        <x:v>3</x:v>
      </x:c>
      <x:c r="J12" s="18" t="n">
        <x:f>IFERROR(H12/I12,"")</x:f>
        <x:v>0.3333333333333333</x:v>
      </x:c>
      <x:c r="K12" s="17" t="n">
        <x:f>E12+H12</x:f>
        <x:v>3</x:v>
      </x:c>
      <x:c r="L12" s="17" t="n">
        <x:f>F12+I12</x:f>
        <x:v>6</x:v>
      </x:c>
      <x:c r="M12" s="18" t="n">
        <x:f>IFERROR(K12/L12,"")</x:f>
        <x:v>0.5</x:v>
      </x:c>
      <x:c r="N12" s="17" t="n">
        <x:v>3</x:v>
      </x:c>
      <x:c r="O12" s="17" t="n">
        <x:v>3</x:v>
      </x:c>
      <x:c r="P12" s="18" t="n">
        <x:f>IFERROR(N12/O12,"")</x:f>
        <x:v>1</x:v>
      </x:c>
      <x:c r="Q12" s="17" t="n">
        <x:v>3</x:v>
      </x:c>
      <x:c r="R12" s="17" t="n">
        <x:v>3</x:v>
      </x:c>
      <x:c r="S12" s="18" t="n">
        <x:f>IFERROR(Q12/R12,"")</x:f>
        <x:v>1</x:v>
      </x:c>
      <x:c r="T12" s="17" t="n">
        <x:v>11</x:v>
      </x:c>
      <x:c r="U12" s="17" t="str">
        <x:v>exposed_decoded_imagination_and_retained</x:v>
      </x:c>
      <x:c r="V12" s="17" t="str">
        <x:v>dreamzero_droid</x:v>
      </x:c>
      <x:c r="W12" s="17" t="str">
        <x:v>artifacts/vla_wam_shared_v2/pilot/expansion/dreamzero_droid_direct_gate.json@sha256:4c76cdc3ca9eaf227d21d160199408f22e1b3dd7a71176a5a5dbe22223714461</x:v>
      </x:c>
      <x:c r="X12" s="17" t="str">
        <x:v>V2-A007 bounded six-cell direct-command gate; decoded imagination is evidence, not execution.</x:v>
      </x:c>
    </x:row>
    <x:row r="13">
      <x:c r="A13" s="17" t="str">
        <x:v>RoboTwin place-A-relative-to-B</x:v>
      </x:c>
      <x:c r="B13" s="17" t="str">
        <x:v>VLA</x:v>
      </x:c>
      <x:c r="C13" s="17" t="str">
        <x:v>LingBot-VLA 4B</x:v>
      </x:c>
      <x:c r="D13" s="17" t="n">
        <x:v>6</x:v>
      </x:c>
      <x:c r="E13" s="17" t="n">
        <x:v>1</x:v>
      </x:c>
      <x:c r="F13" s="17" t="n">
        <x:v>3</x:v>
      </x:c>
      <x:c r="G13" s="18" t="n">
        <x:f>IFERROR(E13/F13,"")</x:f>
        <x:v>0.3333333333333333</x:v>
      </x:c>
      <x:c r="H13" s="17" t="n">
        <x:v>0</x:v>
      </x:c>
      <x:c r="I13" s="17" t="n">
        <x:v>3</x:v>
      </x:c>
      <x:c r="J13" s="18" t="n">
        <x:f>IFERROR(H13/I13,"")</x:f>
        <x:v>0</x:v>
      </x:c>
      <x:c r="K13" s="17" t="n">
        <x:f>E13+H13</x:f>
        <x:v>1</x:v>
      </x:c>
      <x:c r="L13" s="17" t="n">
        <x:f>F13+I13</x:f>
        <x:v>6</x:v>
      </x:c>
      <x:c r="M13" s="18" t="n">
        <x:f>IFERROR(K13/L13,"")</x:f>
        <x:v>0.16666666666666666</x:v>
      </x:c>
      <x:c r="N13" s="17" t="n">
        <x:v>2</x:v>
      </x:c>
      <x:c r="O13" s="17" t="n">
        <x:v>3</x:v>
      </x:c>
      <x:c r="P13" s="18" t="n">
        <x:f>IFERROR(N13/O13,"")</x:f>
        <x:v>0.6666666666666666</x:v>
      </x:c>
      <x:c r="Q13" s="17"/>
      <x:c r="R13" s="17"/>
      <x:c r="S13" s="18" t="str">
        <x:f>IFERROR(Q13/R13,"")</x:f>
      </x:c>
      <x:c r="T13" s="17" t="n">
        <x:v>3</x:v>
      </x:c>
      <x:c r="U13" s="17" t="str">
        <x:v>not_applicable_never_zero</x:v>
      </x:c>
      <x:c r="V13" s="17" t="str">
        <x:v>lingbot_vla_4b_robotwin</x:v>
      </x:c>
      <x:c r="W13" s="17" t="str">
        <x:v>artifacts/vla_wam_shared_v2/pilot/expansion/lingbot_vla_4b_direct_gate.json@sha256:7c0ad19833d6cbb51bb5fbdac8f9546f0e311333e498a15594b55f68dc7b6534; artifacts/vla_wam_shared_v2/pilot/expansion/lingbot_vla_4b_robotwin_readiness.json@sha256:588699ed912fe900de5a5ca36c350236e15ae0b0a2c55afeea22670759b68c30</x:v>
      </x:c>
      <x:c r="X13" s="17" t="str">
        <x:v>V2-A005 bounded six-cell direct-command gate.</x:v>
      </x:c>
    </x:row>
    <x:row r="14">
      <x:c r="A14" s="17" t="str">
        <x:v>RoboTwin place-A-relative-to-B</x:v>
      </x:c>
      <x:c r="B14" s="17" t="str">
        <x:v>WAM</x:v>
      </x:c>
      <x:c r="C14" s="17" t="str">
        <x:v>Efficient-WAM-RT</x:v>
      </x:c>
      <x:c r="D14" s="17" t="n">
        <x:v>14</x:v>
      </x:c>
      <x:c r="E14" s="17" t="n">
        <x:v>3</x:v>
      </x:c>
      <x:c r="F14" s="17" t="n">
        <x:v>7</x:v>
      </x:c>
      <x:c r="G14" s="18" t="n">
        <x:f>IFERROR(E14/F14,"")</x:f>
        <x:v>0.42857142857142855</x:v>
      </x:c>
      <x:c r="H14" s="17" t="n">
        <x:v>2</x:v>
      </x:c>
      <x:c r="I14" s="17" t="n">
        <x:v>7</x:v>
      </x:c>
      <x:c r="J14" s="18" t="n">
        <x:f>IFERROR(H14/I14,"")</x:f>
        <x:v>0.2857142857142857</x:v>
      </x:c>
      <x:c r="K14" s="17" t="n">
        <x:f>E14+H14</x:f>
        <x:v>5</x:v>
      </x:c>
      <x:c r="L14" s="17" t="n">
        <x:f>F14+I14</x:f>
        <x:v>14</x:v>
      </x:c>
      <x:c r="M14" s="18" t="n">
        <x:f>IFERROR(K14/L14,"")</x:f>
        <x:v>0.35714285714285715</x:v>
      </x:c>
      <x:c r="N14" s="17" t="n">
        <x:v>6</x:v>
      </x:c>
      <x:c r="O14" s="17" t="n">
        <x:v>7</x:v>
      </x:c>
      <x:c r="P14" s="18" t="n">
        <x:f>IFERROR(N14/O14,"")</x:f>
        <x:v>0.8571428571428571</x:v>
      </x:c>
      <x:c r="Q14" s="17" t="n">
        <x:v>7</x:v>
      </x:c>
      <x:c r="R14" s="17" t="n">
        <x:v>7</x:v>
      </x:c>
      <x:c r="S14" s="18" t="n">
        <x:f>IFERROR(Q14/R14,"")</x:f>
        <x:v>1</x:v>
      </x:c>
      <x:c r="T14" s="17" t="n">
        <x:v>4</x:v>
      </x:c>
      <x:c r="U14" s="17" t="str">
        <x:v>exposed_and_retained</x:v>
      </x:c>
      <x:c r="V14" s="17" t="str">
        <x:v>efficient_wam_rt_robotwin</x:v>
      </x:c>
      <x:c r="W14" s="17" t="str">
        <x:v>artifacts/vla_wam_shared_v2/pilot/directional_confirmation/efficient_wam_rt_pair03_integration.json@sha256:d850f8f2c3d32db705cc65326ca673c150ab7208a203a180bd32d88dfb0e5471; artifacts/vla_wam_shared_v2/pilot/directional_confirmation/efficient_wam_rt_pairs04_09_slice.json@sha256:e7d2d3791323fecedb49e8c1ecc8fda1e0ade91dedd6613b9079f7b290e1fd54</x:v>
      </x:c>
      <x:c r="X14" s="17" t="str">
        <x:v>Prospective pairs03–09 only; historical pairs00–02 are not merged into this row.</x:v>
      </x:c>
    </x:row>
    <x:row r="15">
      <x:c r="A15" s="17" t="str">
        <x:v>RoboTwin place-A-relative-to-B</x:v>
      </x:c>
      <x:c r="B15" s="17" t="str">
        <x:v>WAM</x:v>
      </x:c>
      <x:c r="C15" s="17" t="str">
        <x:v>FastWAM</x:v>
      </x:c>
      <x:c r="D15" s="17" t="n">
        <x:v>14</x:v>
      </x:c>
      <x:c r="E15" s="17" t="n">
        <x:v>1</x:v>
      </x:c>
      <x:c r="F15" s="17" t="n">
        <x:v>7</x:v>
      </x:c>
      <x:c r="G15" s="18" t="n">
        <x:f>IFERROR(E15/F15,"")</x:f>
        <x:v>0.14285714285714285</x:v>
      </x:c>
      <x:c r="H15" s="17" t="n">
        <x:v>1</x:v>
      </x:c>
      <x:c r="I15" s="17" t="n">
        <x:v>7</x:v>
      </x:c>
      <x:c r="J15" s="18" t="n">
        <x:f>IFERROR(H15/I15,"")</x:f>
        <x:v>0.14285714285714285</x:v>
      </x:c>
      <x:c r="K15" s="17" t="n">
        <x:f>E15+H15</x:f>
        <x:v>2</x:v>
      </x:c>
      <x:c r="L15" s="17" t="n">
        <x:f>F15+I15</x:f>
        <x:v>14</x:v>
      </x:c>
      <x:c r="M15" s="18" t="n">
        <x:f>IFERROR(K15/L15,"")</x:f>
        <x:v>0.14285714285714285</x:v>
      </x:c>
      <x:c r="N15" s="17" t="n">
        <x:v>3</x:v>
      </x:c>
      <x:c r="O15" s="17" t="n">
        <x:v>7</x:v>
      </x:c>
      <x:c r="P15" s="18" t="n">
        <x:f>IFERROR(N15/O15,"")</x:f>
        <x:v>0.42857142857142855</x:v>
      </x:c>
      <x:c r="Q15" s="17" t="n">
        <x:v>7</x:v>
      </x:c>
      <x:c r="R15" s="17" t="n">
        <x:v>7</x:v>
      </x:c>
      <x:c r="S15" s="18" t="n">
        <x:f>IFERROR(Q15/R15,"")</x:f>
        <x:v>1</x:v>
      </x:c>
      <x:c r="T15" s="17" t="n">
        <x:v>18</x:v>
      </x:c>
      <x:c r="U15" s="17" t="str">
        <x:v>not_applicable_never_zero</x:v>
      </x:c>
      <x:c r="V15" s="17" t="str">
        <x:v>fastwam_robotwin</x:v>
      </x:c>
      <x:c r="W15" s="17" t="str">
        <x:v>artifacts/vla_wam_shared_v2/pilot/directional_confirmation/fastwam_pairs03_09_slice.json@sha256:9d52920cded17d0f61c997f02624ea38ffc4c9a3536cdacf9f71115b151d14be</x:v>
      </x:c>
      <x:c r="X15" s="17" t="str">
        <x:v>Prospective pairs03–09 only; historical pairs00–02 are not merged into this row.</x:v>
      </x:c>
    </x:row>
    <x:row r="16">
      <x:c r="A16" s="17" t="str">
        <x:v>RoboTwin place-A-relative-to-B</x:v>
      </x:c>
      <x:c r="B16" s="17" t="str">
        <x:v>WAM</x:v>
      </x:c>
      <x:c r="C16" s="17" t="str">
        <x:v>LingBot-VA</x:v>
      </x:c>
      <x:c r="D16" s="17" t="n">
        <x:v>14</x:v>
      </x:c>
      <x:c r="E16" s="17" t="n">
        <x:v>3</x:v>
      </x:c>
      <x:c r="F16" s="17" t="n">
        <x:v>7</x:v>
      </x:c>
      <x:c r="G16" s="18" t="n">
        <x:f>IFERROR(E16/F16,"")</x:f>
        <x:v>0.42857142857142855</x:v>
      </x:c>
      <x:c r="H16" s="17" t="n">
        <x:v>4</x:v>
      </x:c>
      <x:c r="I16" s="17" t="n">
        <x:v>7</x:v>
      </x:c>
      <x:c r="J16" s="18" t="n">
        <x:f>IFERROR(H16/I16,"")</x:f>
        <x:v>0.5714285714285714</x:v>
      </x:c>
      <x:c r="K16" s="17" t="n">
        <x:f>E16+H16</x:f>
        <x:v>7</x:v>
      </x:c>
      <x:c r="L16" s="17" t="n">
        <x:f>F16+I16</x:f>
        <x:v>14</x:v>
      </x:c>
      <x:c r="M16" s="18" t="n">
        <x:f>IFERROR(K16/L16,"")</x:f>
        <x:v>0.5</x:v>
      </x:c>
      <x:c r="N16" s="17" t="n">
        <x:v>6</x:v>
      </x:c>
      <x:c r="O16" s="17" t="n">
        <x:v>7</x:v>
      </x:c>
      <x:c r="P16" s="18" t="n">
        <x:f>IFERROR(N16/O16,"")</x:f>
        <x:v>0.8571428571428571</x:v>
      </x:c>
      <x:c r="Q16" s="17" t="n">
        <x:v>7</x:v>
      </x:c>
      <x:c r="R16" s="17" t="n">
        <x:v>7</x:v>
      </x:c>
      <x:c r="S16" s="18" t="n">
        <x:f>IFERROR(Q16/R16,"")</x:f>
        <x:v>1</x:v>
      </x:c>
      <x:c r="T16" s="17" t="n">
        <x:v>5</x:v>
      </x:c>
      <x:c r="U16" s="17" t="str">
        <x:v>latent_retained_not_scored_never_zero</x:v>
      </x:c>
      <x:c r="V16" s="17" t="str">
        <x:v>lingbot_va_robotwin</x:v>
      </x:c>
      <x:c r="W16" s="17" t="str">
        <x:v>artifacts/vla_wam_shared_v2/pilot/directional_confirmation/lingbot_va_pairs03_09_slice.json@sha256:8617da77c819ea57d374f463a672bf73414b088bb8188b9b13a6c1c2e1fb9d85</x:v>
      </x:c>
      <x:c r="X16" s="17" t="str">
        <x:v>Prospective pairs03–09 only; historical pairs00–02 are not merged into this row.</x:v>
      </x:c>
    </x:row>
    <x:row r="17">
      <x:c r="A17" s="17" t="str">
        <x:v>RoboTwin place-A-relative-to-B</x:v>
      </x:c>
      <x:c r="B17" s="17" t="str">
        <x:v>WAM</x:v>
      </x:c>
      <x:c r="C17" s="17" t="str">
        <x:v>Light-WAM</x:v>
      </x:c>
      <x:c r="D17" s="17" t="n">
        <x:v>6</x:v>
      </x:c>
      <x:c r="E17" s="17" t="n">
        <x:v>1</x:v>
      </x:c>
      <x:c r="F17" s="17" t="n">
        <x:v>3</x:v>
      </x:c>
      <x:c r="G17" s="18" t="n">
        <x:f>IFERROR(E17/F17,"")</x:f>
        <x:v>0.3333333333333333</x:v>
      </x:c>
      <x:c r="H17" s="17" t="n">
        <x:v>0</x:v>
      </x:c>
      <x:c r="I17" s="17" t="n">
        <x:v>3</x:v>
      </x:c>
      <x:c r="J17" s="18" t="n">
        <x:f>IFERROR(H17/I17,"")</x:f>
        <x:v>0</x:v>
      </x:c>
      <x:c r="K17" s="17" t="n">
        <x:f>E17+H17</x:f>
        <x:v>1</x:v>
      </x:c>
      <x:c r="L17" s="17" t="n">
        <x:f>F17+I17</x:f>
        <x:v>6</x:v>
      </x:c>
      <x:c r="M17" s="18" t="n">
        <x:f>IFERROR(K17/L17,"")</x:f>
        <x:v>0.16666666666666666</x:v>
      </x:c>
      <x:c r="N17" s="17" t="n">
        <x:v>1</x:v>
      </x:c>
      <x:c r="O17" s="17" t="n">
        <x:v>3</x:v>
      </x:c>
      <x:c r="P17" s="18" t="n">
        <x:f>IFERROR(N17/O17,"")</x:f>
        <x:v>0.3333333333333333</x:v>
      </x:c>
      <x:c r="Q17" s="17" t="n">
        <x:v>3</x:v>
      </x:c>
      <x:c r="R17" s="17" t="n">
        <x:v>3</x:v>
      </x:c>
      <x:c r="S17" s="18" t="n">
        <x:f>IFERROR(Q17/R17,"")</x:f>
        <x:v>1</x:v>
      </x:c>
      <x:c r="T17" s="17" t="n">
        <x:v>6</x:v>
      </x:c>
      <x:c r="U17" s="17" t="str">
        <x:v>not_applicable_never_zero</x:v>
      </x:c>
      <x:c r="V17" s="17" t="str">
        <x:v>light_wam_robotwin</x:v>
      </x:c>
      <x:c r="W17" s="17" t="str">
        <x:v>artifacts/vla_wam_shared_v2/pilot/expansion/light_wam_robotwin_direct_gate.json@sha256:f33e1ff8fdc82c4a035f2cc113b91b311d685d9747dbcbb1104453fc455745d6; artifacts/vla_wam_shared_v2/pilot/expansion/light_wam_robotwin_registry.json@sha256:c316bbebe8aa73cfe86b8749cb3cf6d8ebf438389a57b1d9e6c52dbfee67bbb5</x:v>
      </x:c>
      <x:c r="X17" s="17" t="str">
        <x:v>V2-A006 bounded six-cell direct-command gate.</x:v>
      </x:c>
    </x:row>
  </x:sheetData>
  <x:mergeCells>
    <x:mergeCell ref="A1:X2"/>
    <x:mergeCell ref="A3:X4"/>
  </x:mergeCells>
  <x:conditionalFormatting sqref="M7:M17">
    <x:cfRule type="colorScale" priority="1">
      <x:colorScale>
        <x:cfvo type="min"/>
        <x:cfvo type="percentile" val="50"/>
        <x:cfvo type="max"/>
        <x:color rgb="FFFEE2E2"/>
        <x:color rgb="FFFEF3C7"/>
        <x:color rgb="FFDCFCE7"/>
      </x:colorScale>
    </x:cfRule>
  </x:conditionalFormatting>
  <x:conditionalFormatting sqref="P7:P17">
    <x:cfRule type="dataBar" priority="2">
      <x:dataBar>
        <x:cfvo type="min"/>
        <x:cfvo type="max"/>
        <x:color rgb="FF0F766E"/>
      </x:dataBar>
    </x:cfRule>
  </x:conditionalFormatting>
  <x:pageMargins left="0.7" right="0.7" top="0.75" bottom="0.75" header="0.3" footer="0.3"/>
  <x:tableParts count="1">
    <x:tablePart xmlns:r="http://schemas.openxmlformats.org/officeDocument/2006/relationships" r:id="R2a6a3924bcdb49a5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38" hidden="0" customWidth="1"/>
    <x:col min="3" max="3" width="32" hidden="0" customWidth="1"/>
    <x:col min="4" max="4" width="28" hidden="0" customWidth="1"/>
    <x:col min="5" max="5" width="28" hidden="0" customWidth="1"/>
    <x:col min="6" max="6" width="11" hidden="0" customWidth="1"/>
    <x:col min="7" max="7" width="76" hidden="0" customWidth="1"/>
    <x:col min="8" max="8" width="14" hidden="0" customWidth="1"/>
    <x:col min="9" max="9" width="14" hidden="0" customWidth="1"/>
    <x:col min="10" max="10" width="68" hidden="0" customWidth="1"/>
    <x:col min="11" max="11" width="72" hidden="0" customWidth="1"/>
  </x:cols>
  <x:sheetData>
    <x:row r="1">
      <x:c r="A1" s="3" t="str">
        <x:v>Video inventory — execution, prediction, and support media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</x:row>
    <x:row r="2">
      <x:c r="A2" s="3"/>
      <x:c r="B2" s="3"/>
      <x:c r="C2" s="3"/>
      <x:c r="D2" s="3"/>
      <x:c r="E2" s="3"/>
      <x:c r="F2" s="3"/>
      <x:c r="G2" s="3"/>
      <x:c r="H2" s="3"/>
      <x:c r="I2" s="3"/>
      <x:c r="J2" s="3"/>
      <x:c r="K2" s="3"/>
    </x:row>
    <x:row r="3">
      <x:c r="A3" s="7" t="str">
        <x:v>One row per committed MP4. Canonical gallery items are the reading order; archives, alternate encodes, and reconstruction parts are not additional episodes.</x:v>
      </x:c>
      <x:c r="B3" s="7"/>
      <x:c r="C3" s="7"/>
      <x:c r="D3" s="7"/>
      <x:c r="E3" s="7"/>
      <x:c r="F3" s="7"/>
      <x:c r="G3" s="7"/>
      <x:c r="H3" s="7"/>
      <x:c r="I3" s="7"/>
      <x:c r="J3" s="7"/>
      <x:c r="K3" s="7"/>
    </x:row>
    <x:row r="4">
      <x:c r="A4" s="7"/>
      <x:c r="B4" s="7"/>
      <x:c r="C4" s="7"/>
      <x:c r="D4" s="7"/>
      <x:c r="E4" s="7"/>
      <x:c r="F4" s="7"/>
      <x:c r="G4" s="7"/>
      <x:c r="H4" s="7"/>
      <x:c r="I4" s="7"/>
      <x:c r="J4" s="7"/>
      <x:c r="K4" s="7"/>
    </x:row>
    <x:row r="6">
      <x:c r="A6" s="12" t="str">
        <x:v>Class</x:v>
      </x:c>
      <x:c r="B6" s="12" t="str">
        <x:v>Model</x:v>
      </x:c>
      <x:c r="C6" s="12" t="str">
        <x:v>Arena</x:v>
      </x:c>
      <x:c r="D6" s="12" t="str">
        <x:v>Evidence kind</x:v>
      </x:c>
      <x:c r="E6" s="12" t="str">
        <x:v>Publication role</x:v>
      </x:c>
      <x:c r="F6" s="12" t="str">
        <x:v>Canonical?</x:v>
      </x:c>
      <x:c r="G6" s="12" t="str">
        <x:v>Repository path</x:v>
      </x:c>
      <x:c r="H6" s="12" t="str">
        <x:v>Size (MiB)</x:v>
      </x:c>
      <x:c r="I6" s="12" t="str">
        <x:v>Bytes</x:v>
      </x:c>
      <x:c r="J6" s="12" t="str">
        <x:v>SHA-256</x:v>
      </x:c>
      <x:c r="K6" s="12" t="str">
        <x:v>Source manifest</x:v>
      </x:c>
    </x:row>
    <x:row r="7">
      <x:c r="A7" s="17" t="str">
        <x:v>WAM</x:v>
      </x:c>
      <x:c r="B7" s="17" t="str">
        <x:v>Cosmos3 Edge base — DROID</x:v>
      </x:c>
      <x:c r="C7" s="17" t="str">
        <x:v>DROID / RoboLab</x:v>
      </x:c>
      <x:c r="D7" s="17" t="str">
        <x:v>prediction-only interface probe</x:v>
      </x:c>
      <x:c r="E7" s="17" t="str">
        <x:v>canonical gallery</x:v>
      </x:c>
      <x:c r="F7" s="17" t="str">
        <x:f>IF(OR(E7="canonical gallery",E7="canonical paired comparison"),"Yes","No")</x:f>
        <x:v>Yes</x:v>
      </x:c>
      <x:c r="G7" s="17" t="str">
        <x:v>artifacts/vla_wam_shared_v2/media/cosmos3_edge_base_v2a013/cosmos3_edge_base_v2a013_seed8300_paired_model_prediction.mp4</x:v>
      </x:c>
      <x:c r="H7" s="20" t="n">
        <x:f>I7/1048576</x:f>
        <x:v>0.44434165954589844</x:v>
      </x:c>
      <x:c r="I7" s="17" t="n">
        <x:v>465926</x:v>
      </x:c>
      <x:c r="J7" s="17" t="str">
        <x:v>42cf54de658b568716c91d004d3a17c2f3b53cd17e69a1f40d4fb93af8f1eb1c</x:v>
      </x:c>
      <x:c r="K7" s="17" t="str">
        <x:v>artifacts/vla_wam_shared_v2/media/cosmos3_edge_base_v2a013/media_manifest.json</x:v>
      </x:c>
    </x:row>
    <x:row r="8">
      <x:c r="A8" s="17" t="str">
        <x:v>WAM</x:v>
      </x:c>
      <x:c r="B8" s="17" t="str">
        <x:v>Cosmos3 Edge DROID</x:v>
      </x:c>
      <x:c r="C8" s="17" t="str">
        <x:v>DROID / RoboLab</x:v>
      </x:c>
      <x:c r="D8" s="17" t="str">
        <x:v>actual rollout</x:v>
      </x:c>
      <x:c r="E8" s="17" t="str">
        <x:v>canonical gallery</x:v>
      </x:c>
      <x:c r="F8" s="17" t="str">
        <x:f>IF(OR(E8="canonical gallery",E8="canonical paired comparison"),"Yes","No")</x:f>
        <x:v>Yes</x:v>
      </x:c>
      <x:c r="G8" s="17" t="str">
        <x:v>artifacts/vla_wam_shared_v2/media/cosmos3_edge_droid/cosmos3_edge_seed8302_paired.mp4</x:v>
      </x:c>
      <x:c r="H8" s="20" t="n">
        <x:f>I8/1048576</x:f>
        <x:v>2.4914636611938477</x:v>
      </x:c>
      <x:c r="I8" s="17" t="n">
        <x:v>2612489</x:v>
      </x:c>
      <x:c r="J8" s="17" t="str">
        <x:v>5eed8b8468aff6070617e126eac1c67a19fd62309279ca1a06f2d3b5abf4bdc9</x:v>
      </x:c>
      <x:c r="K8" s="17" t="str">
        <x:v>artifacts/vla_wam_shared_v2/media/cosmos3_edge_droid/media_manifest.json</x:v>
      </x:c>
    </x:row>
    <x:row r="9">
      <x:c r="A9" s="17" t="str">
        <x:v>WAM</x:v>
      </x:c>
      <x:c r="B9" s="17" t="str">
        <x:v>Cosmos3 Nano Policy DROID — V2-A011</x:v>
      </x:c>
      <x:c r="C9" s="17" t="str">
        <x:v>DROID / RoboLab</x:v>
      </x:c>
      <x:c r="D9" s="17" t="str">
        <x:v>actual rollout</x:v>
      </x:c>
      <x:c r="E9" s="17" t="str">
        <x:v>canonical gallery</x:v>
      </x:c>
      <x:c r="F9" s="17" t="str">
        <x:f>IF(OR(E9="canonical gallery",E9="canonical paired comparison"),"Yes","No")</x:f>
        <x:v>Yes</x:v>
      </x:c>
      <x:c r="G9" s="17" t="str">
        <x:v>artifacts/vla_wam_shared_v2/media/cosmos3_nano_policy_droid_v2a011/cosmos3_nano_v2a011_seed8300_paired_actual.mp4</x:v>
      </x:c>
      <x:c r="H9" s="20" t="n">
        <x:f>I9/1048576</x:f>
        <x:v>2.0746259689331055</x:v>
      </x:c>
      <x:c r="I9" s="17" t="n">
        <x:v>2175403</x:v>
      </x:c>
      <x:c r="J9" s="17" t="str">
        <x:v>17f7d7f9120020db70bb007c0fee9e46c450b043b5132c30d72c1dc5b745f706</x:v>
      </x:c>
      <x:c r="K9" s="17" t="str">
        <x:v>artifacts/vla_wam_shared_v2/media/cosmos3_nano_policy_droid_v2a011/media_manifest.json</x:v>
      </x:c>
    </x:row>
    <x:row r="10">
      <x:c r="A10" s="17" t="str">
        <x:v>WAM</x:v>
      </x:c>
      <x:c r="B10" s="17" t="str">
        <x:v>Cosmos3 Nano Policy DROID — V2-A011</x:v>
      </x:c>
      <x:c r="C10" s="17" t="str">
        <x:v>DROID / RoboLab</x:v>
      </x:c>
      <x:c r="D10" s="17" t="str">
        <x:v>model prediction</x:v>
      </x:c>
      <x:c r="E10" s="17" t="str">
        <x:v>canonical paired comparison</x:v>
      </x:c>
      <x:c r="F10" s="17" t="str">
        <x:f>IF(OR(E10="canonical gallery",E10="canonical paired comparison"),"Yes","No")</x:f>
        <x:v>Yes</x:v>
      </x:c>
      <x:c r="G10" s="17" t="str">
        <x:v>artifacts/vla_wam_shared_v2/media/cosmos3_nano_policy_droid_v2a011/cosmos3_nano_v2a011_seed8300_paired_model_prediction.mp4</x:v>
      </x:c>
      <x:c r="H10" s="20" t="n">
        <x:f>I10/1048576</x:f>
        <x:v>0.6672248840332031</x:v>
      </x:c>
      <x:c r="I10" s="17" t="n">
        <x:v>699636</x:v>
      </x:c>
      <x:c r="J10" s="17" t="str">
        <x:v>61c8664966304813f96ad59932879ba8f4fe094176e055b279a719feabe40938</x:v>
      </x:c>
      <x:c r="K10" s="17" t="str">
        <x:v>artifacts/vla_wam_shared_v2/media/cosmos3_nano_policy_droid_v2a011/media_manifest.json</x:v>
      </x:c>
    </x:row>
    <x:row r="11">
      <x:c r="A11" s="17" t="str">
        <x:v>WAM</x:v>
      </x:c>
      <x:c r="B11" s="17" t="str">
        <x:v>Cosmos3-Super base</x:v>
      </x:c>
      <x:c r="C11" s="17" t="str">
        <x:v>DROID / RoboLab conditioning image only</x:v>
      </x:c>
      <x:c r="D11" s="17" t="str">
        <x:v>prediction-only interface probe</x:v>
      </x:c>
      <x:c r="E11" s="17" t="str">
        <x:v>canonical gallery</x:v>
      </x:c>
      <x:c r="F11" s="17" t="str">
        <x:f>IF(OR(E11="canonical gallery",E11="canonical paired comparison"),"Yes","No")</x:f>
        <x:v>Yes</x:v>
      </x:c>
      <x:c r="G11" s="17" t="str">
        <x:v>artifacts/vla_wam_shared_v2/media/cosmos3_super_base_v2a014/cosmos3_super_v2a014_paired_prediction_and_actions.mp4</x:v>
      </x:c>
      <x:c r="H11" s="20" t="n">
        <x:f>I11/1048576</x:f>
        <x:v>0.40380859375</x:v>
      </x:c>
      <x:c r="I11" s="17" t="n">
        <x:v>423424</x:v>
      </x:c>
      <x:c r="J11" s="17" t="str">
        <x:v>b43e6df303cca34367c57515cc5191668d5bf9c88b5d4d9825d44e56c7dd2bc1</x:v>
      </x:c>
      <x:c r="K11" s="17" t="str">
        <x:v>artifacts/vla_wam_shared_v2/media/cosmos3_super_base_v2a014/media_manifest.json</x:v>
      </x:c>
    </x:row>
    <x:row r="12">
      <x:c r="A12" s="17" t="str">
        <x:v>WAM</x:v>
      </x:c>
      <x:c r="B12" s="17" t="str">
        <x:v>DreamZero DROID</x:v>
      </x:c>
      <x:c r="C12" s="17" t="str">
        <x:v>DROID / RoboLab</x:v>
      </x:c>
      <x:c r="D12" s="17" t="str">
        <x:v>actual rollout</x:v>
      </x:c>
      <x:c r="E12" s="17" t="str">
        <x:v>canonical gallery</x:v>
      </x:c>
      <x:c r="F12" s="17" t="str">
        <x:f>IF(OR(E12="canonical gallery",E12="canonical paired comparison"),"Yes","No")</x:f>
        <x:v>Yes</x:v>
      </x:c>
      <x:c r="G12" s="17" t="str">
        <x:v>artifacts/vla_wam_shared_v2/media/dreamzero_droid/dreamzero_droid_seed8300_paired.mp4</x:v>
      </x:c>
      <x:c r="H12" s="20" t="n">
        <x:f>I12/1048576</x:f>
        <x:v>0.24982261657714844</x:v>
      </x:c>
      <x:c r="I12" s="17" t="n">
        <x:v>261958</x:v>
      </x:c>
      <x:c r="J12" s="17" t="str">
        <x:v>cc00f5b5de10152b73d6a86d76c99ac3970dfa2a1d021b53f49d0ecf7e2231d2</x:v>
      </x:c>
      <x:c r="K12" s="17" t="str">
        <x:v>artifacts/vla_wam_shared_v2/media/dreamzero_droid/media_manifest.json</x:v>
      </x:c>
    </x:row>
    <x:row r="13">
      <x:c r="A13" s="17" t="str">
        <x:v>WAM</x:v>
      </x:c>
      <x:c r="B13" s="17" t="str">
        <x:v>DreamZero DROID</x:v>
      </x:c>
      <x:c r="C13" s="17" t="str">
        <x:v>DROID / RoboLab</x:v>
      </x:c>
      <x:c r="D13" s="17" t="str">
        <x:v>actual rollout</x:v>
      </x:c>
      <x:c r="E13" s="17" t="str">
        <x:v>canonical gallery</x:v>
      </x:c>
      <x:c r="F13" s="17" t="str">
        <x:f>IF(OR(E13="canonical gallery",E13="canonical paired comparison"),"Yes","No")</x:f>
        <x:v>Yes</x:v>
      </x:c>
      <x:c r="G13" s="17" t="str">
        <x:v>artifacts/vla_wam_shared_v2/media/dreamzero_droid/dreamzero_droid_seed8301_paired.mp4</x:v>
      </x:c>
      <x:c r="H13" s="20" t="n">
        <x:f>I13/1048576</x:f>
        <x:v>0.44453907012939453</x:v>
      </x:c>
      <x:c r="I13" s="17" t="n">
        <x:v>466133</x:v>
      </x:c>
      <x:c r="J13" s="17" t="str">
        <x:v>f885b845365a990cd700350f0e5e2b773930217cfcc455a8e665850ac80025ec</x:v>
      </x:c>
      <x:c r="K13" s="17" t="str">
        <x:v>artifacts/vla_wam_shared_v2/media/dreamzero_droid/media_manifest.json</x:v>
      </x:c>
    </x:row>
    <x:row r="14">
      <x:c r="A14" s="17" t="str">
        <x:v>WAM</x:v>
      </x:c>
      <x:c r="B14" s="17" t="str">
        <x:v>DreamZero DROID</x:v>
      </x:c>
      <x:c r="C14" s="17" t="str">
        <x:v>DROID / RoboLab</x:v>
      </x:c>
      <x:c r="D14" s="17" t="str">
        <x:v>actual rollout</x:v>
      </x:c>
      <x:c r="E14" s="17" t="str">
        <x:v>canonical gallery</x:v>
      </x:c>
      <x:c r="F14" s="17" t="str">
        <x:f>IF(OR(E14="canonical gallery",E14="canonical paired comparison"),"Yes","No")</x:f>
        <x:v>Yes</x:v>
      </x:c>
      <x:c r="G14" s="17" t="str">
        <x:v>artifacts/vla_wam_shared_v2/media/dreamzero_droid/dreamzero_droid_seed8302_paired.mp4</x:v>
      </x:c>
      <x:c r="H14" s="20" t="n">
        <x:f>I14/1048576</x:f>
        <x:v>0.4364471435546875</x:v>
      </x:c>
      <x:c r="I14" s="17" t="n">
        <x:v>457648</x:v>
      </x:c>
      <x:c r="J14" s="17" t="str">
        <x:v>e9feb9ccdb3c8935f87ddf251327f95d9d93400719d25d8a91de04cd0fc6bb71</x:v>
      </x:c>
      <x:c r="K14" s="17" t="str">
        <x:v>artifacts/vla_wam_shared_v2/media/dreamzero_droid/media_manifest.json</x:v>
      </x:c>
    </x:row>
    <x:row r="15">
      <x:c r="A15" s="17" t="str">
        <x:v>WAM</x:v>
      </x:c>
      <x:c r="B15" s="17" t="str">
        <x:v>DreamZero DROID</x:v>
      </x:c>
      <x:c r="C15" s="17" t="str">
        <x:v>DROID / RoboLab</x:v>
      </x:c>
      <x:c r="D15" s="17" t="str">
        <x:v>model prediction / imagination</x:v>
      </x:c>
      <x:c r="E15" s="17" t="str">
        <x:v>complete decode archive</x:v>
      </x:c>
      <x:c r="F15" s="17" t="str">
        <x:f>IF(OR(E15="canonical gallery",E15="canonical paired comparison"),"Yes","No")</x:f>
        <x:v>No</x:v>
      </x:c>
      <x:c r="G15" s="17" t="str">
        <x:v>artifacts/vla_wam_shared_v2/media/dreamzero_droid/imagination/official_decodes/behavioral_seed8300_left_official_decode.mp4</x:v>
      </x:c>
      <x:c r="H15" s="20" t="n">
        <x:f>I15/1048576</x:f>
        <x:v>2.3704185485839844</x:v>
      </x:c>
      <x:c r="I15" s="17" t="n">
        <x:v>2485564</x:v>
      </x:c>
      <x:c r="J15" s="17" t="str">
        <x:v>b28cbcfc69d131107f5987ea04f9a50864602015e09fd60fbfdb6789a831c5c3</x:v>
      </x:c>
      <x:c r="K15" s="17" t="str">
        <x:v>artifacts/vla_wam_shared_v2/media/dreamzero_droid/imagination/imagination_media_manifest.json</x:v>
      </x:c>
    </x:row>
    <x:row r="16">
      <x:c r="A16" s="17" t="str">
        <x:v>WAM</x:v>
      </x:c>
      <x:c r="B16" s="17" t="str">
        <x:v>DreamZero DROID</x:v>
      </x:c>
      <x:c r="C16" s="17" t="str">
        <x:v>DROID / RoboLab</x:v>
      </x:c>
      <x:c r="D16" s="17" t="str">
        <x:v>model prediction / imagination</x:v>
      </x:c>
      <x:c r="E16" s="17" t="str">
        <x:v>complete decode archive</x:v>
      </x:c>
      <x:c r="F16" s="17" t="str">
        <x:f>IF(OR(E16="canonical gallery",E16="canonical paired comparison"),"Yes","No")</x:f>
        <x:v>No</x:v>
      </x:c>
      <x:c r="G16" s="17" t="str">
        <x:v>artifacts/vla_wam_shared_v2/media/dreamzero_droid/imagination/official_decodes/behavioral_seed8300_right_official_decode.mp4</x:v>
      </x:c>
      <x:c r="H16" s="20" t="n">
        <x:f>I16/1048576</x:f>
        <x:v>2.411105155944824</x:v>
      </x:c>
      <x:c r="I16" s="17" t="n">
        <x:v>2528227</x:v>
      </x:c>
      <x:c r="J16" s="17" t="str">
        <x:v>806f9323708538b302afe307af9bb2b4c7285816f268498c2bb03c13a074bb83</x:v>
      </x:c>
      <x:c r="K16" s="17" t="str">
        <x:v>artifacts/vla_wam_shared_v2/media/dreamzero_droid/imagination/imagination_media_manifest.json</x:v>
      </x:c>
    </x:row>
    <x:row r="17">
      <x:c r="A17" s="17" t="str">
        <x:v>WAM</x:v>
      </x:c>
      <x:c r="B17" s="17" t="str">
        <x:v>DreamZero DROID</x:v>
      </x:c>
      <x:c r="C17" s="17" t="str">
        <x:v>DROID / RoboLab</x:v>
      </x:c>
      <x:c r="D17" s="17" t="str">
        <x:v>model prediction / imagination</x:v>
      </x:c>
      <x:c r="E17" s="17" t="str">
        <x:v>complete decode archive</x:v>
      </x:c>
      <x:c r="F17" s="17" t="str">
        <x:f>IF(OR(E17="canonical gallery",E17="canonical paired comparison"),"Yes","No")</x:f>
        <x:v>No</x:v>
      </x:c>
      <x:c r="G17" s="17" t="str">
        <x:v>artifacts/vla_wam_shared_v2/media/dreamzero_droid/imagination/official_decodes/behavioral_seed8301_left_official_decode.mp4</x:v>
      </x:c>
      <x:c r="H17" s="20" t="n">
        <x:f>I17/1048576</x:f>
        <x:v>4.914921760559082</x:v>
      </x:c>
      <x:c r="I17" s="17" t="n">
        <x:v>5153669</x:v>
      </x:c>
      <x:c r="J17" s="17" t="str">
        <x:v>41c24b9d997277aaaafceb276c947ba37a990f32a64a013f5d12c9e7be2932bb</x:v>
      </x:c>
      <x:c r="K17" s="17" t="str">
        <x:v>artifacts/vla_wam_shared_v2/media/dreamzero_droid/imagination/imagination_media_manifest.json</x:v>
      </x:c>
    </x:row>
    <x:row r="18">
      <x:c r="A18" s="17" t="str">
        <x:v>WAM</x:v>
      </x:c>
      <x:c r="B18" s="17" t="str">
        <x:v>DreamZero DROID</x:v>
      </x:c>
      <x:c r="C18" s="17" t="str">
        <x:v>DROID / RoboLab</x:v>
      </x:c>
      <x:c r="D18" s="17" t="str">
        <x:v>model prediction / imagination</x:v>
      </x:c>
      <x:c r="E18" s="17" t="str">
        <x:v>complete decode archive</x:v>
      </x:c>
      <x:c r="F18" s="17" t="str">
        <x:f>IF(OR(E18="canonical gallery",E18="canonical paired comparison"),"Yes","No")</x:f>
        <x:v>No</x:v>
      </x:c>
      <x:c r="G18" s="17" t="str">
        <x:v>artifacts/vla_wam_shared_v2/media/dreamzero_droid/imagination/official_decodes/behavioral_seed8301_right_official_decode.mp4</x:v>
      </x:c>
      <x:c r="H18" s="20" t="n">
        <x:f>I18/1048576</x:f>
        <x:v>5.109619140625</x:v>
      </x:c>
      <x:c r="I18" s="17" t="n">
        <x:v>5357824</x:v>
      </x:c>
      <x:c r="J18" s="17" t="str">
        <x:v>eb6a4b8703e844458b89612907473526df406f335f29c4819ce7815868a5e6b7</x:v>
      </x:c>
      <x:c r="K18" s="17" t="str">
        <x:v>artifacts/vla_wam_shared_v2/media/dreamzero_droid/imagination/imagination_media_manifest.json</x:v>
      </x:c>
    </x:row>
    <x:row r="19">
      <x:c r="A19" s="17" t="str">
        <x:v>WAM</x:v>
      </x:c>
      <x:c r="B19" s="17" t="str">
        <x:v>DreamZero DROID</x:v>
      </x:c>
      <x:c r="C19" s="17" t="str">
        <x:v>DROID / RoboLab</x:v>
      </x:c>
      <x:c r="D19" s="17" t="str">
        <x:v>model prediction / imagination</x:v>
      </x:c>
      <x:c r="E19" s="17" t="str">
        <x:v>complete decode archive</x:v>
      </x:c>
      <x:c r="F19" s="17" t="str">
        <x:f>IF(OR(E19="canonical gallery",E19="canonical paired comparison"),"Yes","No")</x:f>
        <x:v>No</x:v>
      </x:c>
      <x:c r="G19" s="17" t="str">
        <x:v>artifacts/vla_wam_shared_v2/media/dreamzero_droid/imagination/official_decodes/behavioral_seed8302_left_official_decode.mp4</x:v>
      </x:c>
      <x:c r="H19" s="20" t="n">
        <x:f>I19/1048576</x:f>
        <x:v>3.7257919311523438</x:v>
      </x:c>
      <x:c r="I19" s="17" t="n">
        <x:v>3906776</x:v>
      </x:c>
      <x:c r="J19" s="17" t="str">
        <x:v>7a5b76ee925cdeeae12d19c18266fa9ca9704adcc0aac91794ca4ecc46bdfccd</x:v>
      </x:c>
      <x:c r="K19" s="17" t="str">
        <x:v>artifacts/vla_wam_shared_v2/media/dreamzero_droid/imagination/imagination_media_manifest.json</x:v>
      </x:c>
    </x:row>
    <x:row r="20">
      <x:c r="A20" s="17" t="str">
        <x:v>WAM</x:v>
      </x:c>
      <x:c r="B20" s="17" t="str">
        <x:v>DreamZero DROID</x:v>
      </x:c>
      <x:c r="C20" s="17" t="str">
        <x:v>DROID / RoboLab</x:v>
      </x:c>
      <x:c r="D20" s="17" t="str">
        <x:v>model prediction / imagination</x:v>
      </x:c>
      <x:c r="E20" s="17" t="str">
        <x:v>complete decode archive</x:v>
      </x:c>
      <x:c r="F20" s="17" t="str">
        <x:f>IF(OR(E20="canonical gallery",E20="canonical paired comparison"),"Yes","No")</x:f>
        <x:v>No</x:v>
      </x:c>
      <x:c r="G20" s="17" t="str">
        <x:v>artifacts/vla_wam_shared_v2/media/dreamzero_droid/imagination/official_decodes/behavioral_seed8302_right_official_decode.mp4</x:v>
      </x:c>
      <x:c r="H20" s="20" t="n">
        <x:f>I20/1048576</x:f>
        <x:v>5.044689178466797</x:v>
      </x:c>
      <x:c r="I20" s="17" t="n">
        <x:v>5289740</x:v>
      </x:c>
      <x:c r="J20" s="17" t="str">
        <x:v>60f0139c63dda97c2f98ee38aaa0e842488280d37711c070d00317aa00252c37</x:v>
      </x:c>
      <x:c r="K20" s="17" t="str">
        <x:v>artifacts/vla_wam_shared_v2/media/dreamzero_droid/imagination/imagination_media_manifest.json</x:v>
      </x:c>
    </x:row>
    <x:row r="21">
      <x:c r="A21" s="17" t="str">
        <x:v>WAM</x:v>
      </x:c>
      <x:c r="B21" s="17" t="str">
        <x:v>DreamZero DROID</x:v>
      </x:c>
      <x:c r="C21" s="17" t="str">
        <x:v>DROID / RoboLab</x:v>
      </x:c>
      <x:c r="D21" s="17" t="str">
        <x:v>model prediction / imagination</x:v>
      </x:c>
      <x:c r="E21" s="17" t="str">
        <x:v>complete decode archive</x:v>
      </x:c>
      <x:c r="F21" s="17" t="str">
        <x:f>IF(OR(E21="canonical gallery",E21="canonical paired comparison"),"Yes","No")</x:f>
        <x:v>No</x:v>
      </x:c>
      <x:c r="G21" s="17" t="str">
        <x:v>artifacts/vla_wam_shared_v2/media/dreamzero_droid/imagination/official_decodes/fixed_probe_left_a_official_decode.mp4</x:v>
      </x:c>
      <x:c r="H21" s="20" t="n">
        <x:f>I21/1048576</x:f>
        <x:v>0.09429740905761719</x:v>
      </x:c>
      <x:c r="I21" s="17" t="n">
        <x:v>98878</x:v>
      </x:c>
      <x:c r="J21" s="17" t="str">
        <x:v>6abcdd9cb48f4ce01339fb4e23e8113a2e42724ca8404b1f7f194efa98c14f64</x:v>
      </x:c>
      <x:c r="K21" s="17" t="str">
        <x:v>artifacts/vla_wam_shared_v2/media/dreamzero_droid/imagination/imagination_media_manifest.json</x:v>
      </x:c>
    </x:row>
    <x:row r="22">
      <x:c r="A22" s="17" t="str">
        <x:v>WAM</x:v>
      </x:c>
      <x:c r="B22" s="17" t="str">
        <x:v>DreamZero DROID</x:v>
      </x:c>
      <x:c r="C22" s="17" t="str">
        <x:v>DROID / RoboLab</x:v>
      </x:c>
      <x:c r="D22" s="17" t="str">
        <x:v>model prediction / imagination</x:v>
      </x:c>
      <x:c r="E22" s="17" t="str">
        <x:v>complete decode archive</x:v>
      </x:c>
      <x:c r="F22" s="17" t="str">
        <x:f>IF(OR(E22="canonical gallery",E22="canonical paired comparison"),"Yes","No")</x:f>
        <x:v>No</x:v>
      </x:c>
      <x:c r="G22" s="17" t="str">
        <x:v>artifacts/vla_wam_shared_v2/media/dreamzero_droid/imagination/official_decodes/fixed_probe_left_b_exact_repeat_official_decode.mp4</x:v>
      </x:c>
      <x:c r="H22" s="20" t="n">
        <x:f>I22/1048576</x:f>
        <x:v>0.09429740905761719</x:v>
      </x:c>
      <x:c r="I22" s="17" t="n">
        <x:v>98878</x:v>
      </x:c>
      <x:c r="J22" s="17" t="str">
        <x:v>6abcdd9cb48f4ce01339fb4e23e8113a2e42724ca8404b1f7f194efa98c14f64</x:v>
      </x:c>
      <x:c r="K22" s="17" t="str">
        <x:v>artifacts/vla_wam_shared_v2/media/dreamzero_droid/imagination/imagination_media_manifest.json</x:v>
      </x:c>
    </x:row>
    <x:row r="23">
      <x:c r="A23" s="17" t="str">
        <x:v>WAM</x:v>
      </x:c>
      <x:c r="B23" s="17" t="str">
        <x:v>DreamZero DROID</x:v>
      </x:c>
      <x:c r="C23" s="17" t="str">
        <x:v>DROID / RoboLab</x:v>
      </x:c>
      <x:c r="D23" s="17" t="str">
        <x:v>model prediction / imagination</x:v>
      </x:c>
      <x:c r="E23" s="17" t="str">
        <x:v>complete decode archive</x:v>
      </x:c>
      <x:c r="F23" s="17" t="str">
        <x:f>IF(OR(E23="canonical gallery",E23="canonical paired comparison"),"Yes","No")</x:f>
        <x:v>No</x:v>
      </x:c>
      <x:c r="G23" s="17" t="str">
        <x:v>artifacts/vla_wam_shared_v2/media/dreamzero_droid/imagination/official_decodes/fixed_probe_right_official_decode.mp4</x:v>
      </x:c>
      <x:c r="H23" s="20" t="n">
        <x:f>I23/1048576</x:f>
        <x:v>0.09895801544189453</x:v>
      </x:c>
      <x:c r="I23" s="17" t="n">
        <x:v>103765</x:v>
      </x:c>
      <x:c r="J23" s="17" t="str">
        <x:v>0d32aaca8d6dc9b493847bf2f73f88e941728c6d2e48147f15112e3e86ae1c62</x:v>
      </x:c>
      <x:c r="K23" s="17" t="str">
        <x:v>artifacts/vla_wam_shared_v2/media/dreamzero_droid/imagination/imagination_media_manifest.json</x:v>
      </x:c>
    </x:row>
    <x:row r="24">
      <x:c r="A24" s="17" t="str">
        <x:v>WAM</x:v>
      </x:c>
      <x:c r="B24" s="17" t="str">
        <x:v>DreamZero DROID</x:v>
      </x:c>
      <x:c r="C24" s="17" t="str">
        <x:v>DROID / RoboLab</x:v>
      </x:c>
      <x:c r="D24" s="17" t="str">
        <x:v>model prediction / imagination</x:v>
      </x:c>
      <x:c r="E24" s="17" t="str">
        <x:v>canonical paired comparison</x:v>
      </x:c>
      <x:c r="F24" s="17" t="str">
        <x:f>IF(OR(E24="canonical gallery",E24="canonical paired comparison"),"Yes","No")</x:f>
        <x:v>Yes</x:v>
      </x:c>
      <x:c r="G24" s="17" t="str">
        <x:v>artifacts/vla_wam_shared_v2/media/dreamzero_droid/imagination/paired/dreamzero_seed8300_left_right_imagined_futures.mp4</x:v>
      </x:c>
      <x:c r="H24" s="20" t="n">
        <x:f>I24/1048576</x:f>
        <x:v>3.4759912490844727</x:v>
      </x:c>
      <x:c r="I24" s="17" t="n">
        <x:v>3644841</x:v>
      </x:c>
      <x:c r="J24" s="17" t="str">
        <x:v>869db8d72d3066ba417f3088f06f53c76ed3741164ca601d5831d6a8fd6d0e45</x:v>
      </x:c>
      <x:c r="K24" s="17" t="str">
        <x:v>artifacts/vla_wam_shared_v2/media/dreamzero_droid/imagination/imagination_media_manifest.json</x:v>
      </x:c>
    </x:row>
    <x:row r="25">
      <x:c r="A25" s="17" t="str">
        <x:v>WAM</x:v>
      </x:c>
      <x:c r="B25" s="17" t="str">
        <x:v>DreamZero DROID</x:v>
      </x:c>
      <x:c r="C25" s="17" t="str">
        <x:v>DROID / RoboLab</x:v>
      </x:c>
      <x:c r="D25" s="17" t="str">
        <x:v>model prediction / imagination</x:v>
      </x:c>
      <x:c r="E25" s="17" t="str">
        <x:v>canonical paired comparison</x:v>
      </x:c>
      <x:c r="F25" s="17" t="str">
        <x:f>IF(OR(E25="canonical gallery",E25="canonical paired comparison"),"Yes","No")</x:f>
        <x:v>Yes</x:v>
      </x:c>
      <x:c r="G25" s="17" t="str">
        <x:v>artifacts/vla_wam_shared_v2/media/dreamzero_droid/imagination/paired/dreamzero_seed8301_left_right_imagined_futures.mp4</x:v>
      </x:c>
      <x:c r="H25" s="20" t="n">
        <x:f>I25/1048576</x:f>
        <x:v>7.225220680236816</x:v>
      </x:c>
      <x:c r="I25" s="17" t="n">
        <x:v>7576193</x:v>
      </x:c>
      <x:c r="J25" s="17" t="str">
        <x:v>7106b2ff4811c508ef53e669f17eacb2c6ed26d144495dd51cfb42d8c395c45a</x:v>
      </x:c>
      <x:c r="K25" s="17" t="str">
        <x:v>artifacts/vla_wam_shared_v2/media/dreamzero_droid/imagination/imagination_media_manifest.json</x:v>
      </x:c>
    </x:row>
    <x:row r="26">
      <x:c r="A26" s="17" t="str">
        <x:v>WAM</x:v>
      </x:c>
      <x:c r="B26" s="17" t="str">
        <x:v>DreamZero DROID</x:v>
      </x:c>
      <x:c r="C26" s="17" t="str">
        <x:v>DROID / RoboLab</x:v>
      </x:c>
      <x:c r="D26" s="17" t="str">
        <x:v>model prediction / imagination</x:v>
      </x:c>
      <x:c r="E26" s="17" t="str">
        <x:v>canonical paired comparison</x:v>
      </x:c>
      <x:c r="F26" s="17" t="str">
        <x:f>IF(OR(E26="canonical gallery",E26="canonical paired comparison"),"Yes","No")</x:f>
        <x:v>Yes</x:v>
      </x:c>
      <x:c r="G26" s="17" t="str">
        <x:v>artifacts/vla_wam_shared_v2/media/dreamzero_droid/imagination/paired/dreamzero_seed8302_left_right_imagined_futures.mp4</x:v>
      </x:c>
      <x:c r="H26" s="20" t="n">
        <x:f>I26/1048576</x:f>
        <x:v>6.338623046875</x:v>
      </x:c>
      <x:c r="I26" s="17" t="n">
        <x:v>6646528</x:v>
      </x:c>
      <x:c r="J26" s="17" t="str">
        <x:v>4155ae6184d16ceb57dffebf4c5450a1f50d6c17ad6cc725992c87fef35942fc</x:v>
      </x:c>
      <x:c r="K26" s="17" t="str">
        <x:v>artifacts/vla_wam_shared_v2/media/dreamzero_droid/imagination/imagination_media_manifest.json</x:v>
      </x:c>
    </x:row>
    <x:row r="27">
      <x:c r="A27" s="17" t="str">
        <x:v>VLA</x:v>
      </x:c>
      <x:c r="B27" s="17" t="str">
        <x:v>π0-FAST DROID — historical frozen-stack reference</x:v>
      </x:c>
      <x:c r="C27" s="17" t="str">
        <x:v>DROID / RoboLab</x:v>
      </x:c>
      <x:c r="D27" s="17" t="str">
        <x:v>actual rollout</x:v>
      </x:c>
      <x:c r="E27" s="17" t="str">
        <x:v>canonical gallery</x:v>
      </x:c>
      <x:c r="F27" s="17" t="str">
        <x:f>IF(OR(E27="canonical gallery",E27="canonical paired comparison"),"Yes","No")</x:f>
        <x:v>Yes</x:v>
      </x:c>
      <x:c r="G27" s="17" t="str">
        <x:v>artifacts/vla_wam_shared_v2/media/droid_pi0_fast_pairs/pi0_fast_seed8300_left_failure_right_success.mp4</x:v>
      </x:c>
      <x:c r="H27" s="20" t="n">
        <x:f>I27/1048576</x:f>
        <x:v>1.34185791015625</x:v>
      </x:c>
      <x:c r="I27" s="17" t="n">
        <x:v>1407040</x:v>
      </x:c>
      <x:c r="J27" s="17" t="str">
        <x:v>84a424cdfb796bbce02a88eb6d9a22de74fc3b264b4a103bece09aea99ed3a6a</x:v>
      </x:c>
      <x:c r="K27" s="17" t="str">
        <x:v>artifacts/vla_wam_shared_v2/media/droid_pi0_fast_pairs/media_index.json</x:v>
      </x:c>
    </x:row>
    <x:row r="28">
      <x:c r="A28" s="17" t="str">
        <x:v>VLA</x:v>
      </x:c>
      <x:c r="B28" s="17" t="str">
        <x:v>π0-FAST DROID — historical frozen-stack reference</x:v>
      </x:c>
      <x:c r="C28" s="17" t="str">
        <x:v>DROID / RoboLab</x:v>
      </x:c>
      <x:c r="D28" s="17" t="str">
        <x:v>actual rollout</x:v>
      </x:c>
      <x:c r="E28" s="17" t="str">
        <x:v>alternate square encode</x:v>
      </x:c>
      <x:c r="F28" s="17" t="str">
        <x:f>IF(OR(E28="canonical gallery",E28="canonical paired comparison"),"Yes","No")</x:f>
        <x:v>No</x:v>
      </x:c>
      <x:c r="G28" s="17" t="str">
        <x:v>artifacts/vla_wam_shared_v2/media/droid_pi0_fast_pairs/pi0_fast_seed8300_left_failure_right_success_1200x1200.mp4</x:v>
      </x:c>
      <x:c r="H28" s="20" t="n">
        <x:f>I28/1048576</x:f>
        <x:v>0.8461399078369141</x:v>
      </x:c>
      <x:c r="I28" s="17" t="n">
        <x:v>887242</x:v>
      </x:c>
      <x:c r="J28" s="17" t="str">
        <x:v>d9eef591684d6cda2983559368dce46f9d96a306810caa33dd743ae1526bc500</x:v>
      </x:c>
      <x:c r="K28" s="17" t="str"/>
    </x:row>
    <x:row r="29">
      <x:c r="A29" s="17" t="str">
        <x:v>VLA</x:v>
      </x:c>
      <x:c r="B29" s="17" t="str">
        <x:v>GR00T N1.7 DROID</x:v>
      </x:c>
      <x:c r="C29" s="17" t="str">
        <x:v>DROID / RoboLab</x:v>
      </x:c>
      <x:c r="D29" s="17" t="str">
        <x:v>actual rollout</x:v>
      </x:c>
      <x:c r="E29" s="17" t="str">
        <x:v>canonical gallery</x:v>
      </x:c>
      <x:c r="F29" s="17" t="str">
        <x:f>IF(OR(E29="canonical gallery",E29="canonical paired comparison"),"Yes","No")</x:f>
        <x:v>Yes</x:v>
      </x:c>
      <x:c r="G29" s="17" t="str">
        <x:v>artifacts/vla_wam_shared_v2/media/groot_n17_droid/groot_n17_droid_seed8301_pair.mp4</x:v>
      </x:c>
      <x:c r="H29" s="20" t="n">
        <x:f>I29/1048576</x:f>
        <x:v>3.382430076599121</x:v>
      </x:c>
      <x:c r="I29" s="17" t="n">
        <x:v>3546735</x:v>
      </x:c>
      <x:c r="J29" s="17" t="str">
        <x:v>3ff5ac38d8bd224f336531b93c09cd77dee565ab724647f4019a8b2e5d60600d</x:v>
      </x:c>
      <x:c r="K29" s="17" t="str">
        <x:v>artifacts/vla_wam_shared_v2/media/groot_n17_droid/media_index.json</x:v>
      </x:c>
    </x:row>
    <x:row r="30">
      <x:c r="A30" s="17" t="str">
        <x:v>WAM</x:v>
      </x:c>
      <x:c r="B30" s="17" t="str">
        <x:v>Light-WAM</x:v>
      </x:c>
      <x:c r="C30" s="17" t="str">
        <x:v>RoboTwin place-A-relative-to-B</x:v>
      </x:c>
      <x:c r="D30" s="17" t="str">
        <x:v>actual rollout</x:v>
      </x:c>
      <x:c r="E30" s="17" t="str">
        <x:v>canonical gallery</x:v>
      </x:c>
      <x:c r="F30" s="17" t="str">
        <x:f>IF(OR(E30="canonical gallery",E30="canonical paired comparison"),"Yes","No")</x:f>
        <x:v>Yes</x:v>
      </x:c>
      <x:c r="G30" s="17" t="str">
        <x:v>artifacts/vla_wam_shared_v2/media/light_wam_robotwin/light_wam_pair00_left_success_right_failure.mp4</x:v>
      </x:c>
      <x:c r="H30" s="20" t="n">
        <x:f>I30/1048576</x:f>
        <x:v>1.5589866638183594</x:v>
      </x:c>
      <x:c r="I30" s="17" t="n">
        <x:v>1634716</x:v>
      </x:c>
      <x:c r="J30" s="17" t="str">
        <x:v>1830c4a0339ffc47eebb38eb4f14a00b7adb8a507cf130e3dc3c1700fa299386</x:v>
      </x:c>
      <x:c r="K30" s="17" t="str">
        <x:v>artifacts/vla_wam_shared_v2/media/light_wam_robotwin/media_manifest.json</x:v>
      </x:c>
    </x:row>
    <x:row r="31">
      <x:c r="A31" s="17" t="str">
        <x:v>VLA</x:v>
      </x:c>
      <x:c r="B31" s="17" t="str">
        <x:v>π0.5 DROID — current-stack V2-A010</x:v>
      </x:c>
      <x:c r="C31" s="17" t="str">
        <x:v>DROID / RoboLab</x:v>
      </x:c>
      <x:c r="D31" s="17" t="str">
        <x:v>actual rollout</x:v>
      </x:c>
      <x:c r="E31" s="17" t="str">
        <x:v>canonical gallery</x:v>
      </x:c>
      <x:c r="F31" s="17" t="str">
        <x:f>IF(OR(E31="canonical gallery",E31="canonical paired comparison"),"Yes","No")</x:f>
        <x:v>Yes</x:v>
      </x:c>
      <x:c r="G31" s="17" t="str">
        <x:v>artifacts/vla_wam_shared_v2/media/pi05_current_stack_v2a010/pi05_current_stack_v2a010_seed8300_paired_actual.mp4</x:v>
      </x:c>
      <x:c r="H31" s="20" t="n">
        <x:f>I31/1048576</x:f>
        <x:v>2.5324888229370117</x:v>
      </x:c>
      <x:c r="I31" s="17" t="n">
        <x:v>2655507</x:v>
      </x:c>
      <x:c r="J31" s="17" t="str">
        <x:v>1195a4f5bafc20d099644dc6c150d69113b1c88ed03d566308a7c7e7d61e294d</x:v>
      </x:c>
      <x:c r="K31" s="17" t="str">
        <x:v>artifacts/vla_wam_shared_v2/media/pi05_current_stack_v2a010/media_manifest.json</x:v>
      </x:c>
    </x:row>
    <x:row r="32">
      <x:c r="A32" s="17" t="str">
        <x:v>WAM</x:v>
      </x:c>
      <x:c r="B32" s="17" t="str">
        <x:v>Efficient-WAM-RT</x:v>
      </x:c>
      <x:c r="C32" s="17" t="str">
        <x:v>RoboTwin place-A-relative-to-B</x:v>
      </x:c>
      <x:c r="D32" s="17" t="str">
        <x:v>actual rollout</x:v>
      </x:c>
      <x:c r="E32" s="17" t="str">
        <x:v>canonical gallery</x:v>
      </x:c>
      <x:c r="F32" s="17" t="str">
        <x:f>IF(OR(E32="canonical gallery",E32="canonical paired comparison"),"Yes","No")</x:f>
        <x:v>Yes</x:v>
      </x:c>
      <x:c r="G32" s="17" t="str">
        <x:v>artifacts/vla_wam_shared_v2/media/robotwin_wam_confirmation/efficient_wam_rt_pair05_left_right_both_success.mp4</x:v>
      </x:c>
      <x:c r="H32" s="20" t="n">
        <x:f>I32/1048576</x:f>
        <x:v>0.17531299591064453</x:v>
      </x:c>
      <x:c r="I32" s="17" t="n">
        <x:v>183829</x:v>
      </x:c>
      <x:c r="J32" s="17" t="str">
        <x:v>bbc833fc1faf84f38bd8307b8d7f6b73d0fad957ce5a822c7f07a1db6ba2e1a4</x:v>
      </x:c>
      <x:c r="K32" s="17" t="str">
        <x:v>artifacts/vla_wam_shared_v2/media/robotwin_wam_confirmation/media_index.json</x:v>
      </x:c>
    </x:row>
    <x:row r="33">
      <x:c r="A33" s="17" t="str">
        <x:v>WAM</x:v>
      </x:c>
      <x:c r="B33" s="17" t="str">
        <x:v>LingBot-VA</x:v>
      </x:c>
      <x:c r="C33" s="17" t="str">
        <x:v>RoboTwin place-A-relative-to-B</x:v>
      </x:c>
      <x:c r="D33" s="17" t="str">
        <x:v>actual rollout</x:v>
      </x:c>
      <x:c r="E33" s="17" t="str">
        <x:v>canonical gallery</x:v>
      </x:c>
      <x:c r="F33" s="17" t="str">
        <x:f>IF(OR(E33="canonical gallery",E33="canonical paired comparison"),"Yes","No")</x:f>
        <x:v>Yes</x:v>
      </x:c>
      <x:c r="G33" s="17" t="str">
        <x:v>artifacts/vla_wam_shared_v2/media/robotwin_wam_confirmation/lingbot_va_pair03_left_right_normalized_full_rollouts.mp4</x:v>
      </x:c>
      <x:c r="H33" s="20" t="n">
        <x:f>I33/1048576</x:f>
        <x:v>0.5140743255615234</x:v>
      </x:c>
      <x:c r="I33" s="17" t="n">
        <x:v>539046</x:v>
      </x:c>
      <x:c r="J33" s="17" t="str">
        <x:v>074abb4d5ef3b39328535d6e86037c680da5afb45384884745df0624bcc09341</x:v>
      </x:c>
      <x:c r="K33" s="17" t="str">
        <x:v>artifacts/vla_wam_shared_v2/media/robotwin_wam_confirmation/media_index.json</x:v>
      </x:c>
    </x:row>
    <x:row r="34">
      <x:c r="A34" s="17" t="str">
        <x:v>WAM</x:v>
      </x:c>
      <x:c r="B34" s="17" t="str">
        <x:v>Efficient-WAM-RT</x:v>
      </x:c>
      <x:c r="C34" s="17" t="str">
        <x:v>RoboTwin place-A-relative-to-B</x:v>
      </x:c>
      <x:c r="D34" s="17" t="str">
        <x:v>actual rollout</x:v>
      </x:c>
      <x:c r="E34" s="17" t="str">
        <x:v>canonical gallery</x:v>
      </x:c>
      <x:c r="F34" s="17" t="str">
        <x:f>IF(OR(E34="canonical gallery",E34="canonical paired comparison"),"Yes","No")</x:f>
        <x:v>Yes</x:v>
      </x:c>
      <x:c r="G34" s="17" t="str">
        <x:v>artifacts/vla_wam_shared_v2/media/robotwin_wam_pairs/efficient_wam_rt_pair00_left_success_right_failure.mp4</x:v>
      </x:c>
      <x:c r="H34" s="20" t="n">
        <x:f>I34/1048576</x:f>
        <x:v>0.815089225769043</x:v>
      </x:c>
      <x:c r="I34" s="17" t="n">
        <x:v>854683</x:v>
      </x:c>
      <x:c r="J34" s="17" t="str">
        <x:v>bad140d1872ee904bd364c0f8c022b7e5944e3c7529d68f43b93ae72a194a7aa</x:v>
      </x:c>
      <x:c r="K34" s="17" t="str">
        <x:v>artifacts/vla_wam_shared_v2/media/robotwin_wam_pairs/media_index.json</x:v>
      </x:c>
    </x:row>
    <x:row r="35">
      <x:c r="A35" s="17" t="str">
        <x:v>WAM</x:v>
      </x:c>
      <x:c r="B35" s="17" t="str">
        <x:v>Efficient-WAM-RT</x:v>
      </x:c>
      <x:c r="C35" s="17" t="str">
        <x:v>RoboTwin place-A-relative-to-B</x:v>
      </x:c>
      <x:c r="D35" s="17" t="str">
        <x:v>actual rollout</x:v>
      </x:c>
      <x:c r="E35" s="17" t="str">
        <x:v>alternate square encode</x:v>
      </x:c>
      <x:c r="F35" s="17" t="str">
        <x:f>IF(OR(E35="canonical gallery",E35="canonical paired comparison"),"Yes","No")</x:f>
        <x:v>No</x:v>
      </x:c>
      <x:c r="G35" s="17" t="str">
        <x:v>artifacts/vla_wam_shared_v2/media/robotwin_wam_pairs/efficient_wam_rt_pair00_left_success_right_failure_1200x1200.mp4</x:v>
      </x:c>
      <x:c r="H35" s="20" t="n">
        <x:f>I35/1048576</x:f>
        <x:v>0.6204519271850586</x:v>
      </x:c>
      <x:c r="I35" s="17" t="n">
        <x:v>650591</x:v>
      </x:c>
      <x:c r="J35" s="17" t="str">
        <x:v>e993d6999b8f63f63b5860fdb0a4c0e6382cc8b614f8e5db0846edd659216b89</x:v>
      </x:c>
      <x:c r="K35" s="17" t="str"/>
    </x:row>
    <x:row r="36">
      <x:c r="A36" s="17" t="str">
        <x:v>WAM</x:v>
      </x:c>
      <x:c r="B36" s="17" t="str">
        <x:v>FastWAM</x:v>
      </x:c>
      <x:c r="C36" s="17" t="str">
        <x:v>RoboTwin place-A-relative-to-B</x:v>
      </x:c>
      <x:c r="D36" s="17" t="str">
        <x:v>actual rollout</x:v>
      </x:c>
      <x:c r="E36" s="17" t="str">
        <x:v>canonical gallery</x:v>
      </x:c>
      <x:c r="F36" s="17" t="str">
        <x:f>IF(OR(E36="canonical gallery",E36="canonical paired comparison"),"Yes","No")</x:f>
        <x:v>Yes</x:v>
      </x:c>
      <x:c r="G36" s="17" t="str">
        <x:v>artifacts/vla_wam_shared_v2/media/robotwin_wam_pairs/fastwam_pair02_left_success_right_failure.mp4</x:v>
      </x:c>
      <x:c r="H36" s="20" t="n">
        <x:f>I36/1048576</x:f>
        <x:v>4.196647644042969</x:v>
      </x:c>
      <x:c r="I36" s="17" t="n">
        <x:v>4400504</x:v>
      </x:c>
      <x:c r="J36" s="17" t="str">
        <x:v>7a152b61292fdfe9d341950d4448dce4c8c5d4b797aa073b246bafafbaaae4f2</x:v>
      </x:c>
      <x:c r="K36" s="17" t="str">
        <x:v>artifacts/vla_wam_shared_v2/media/robotwin_wam_pairs/media_index.json</x:v>
      </x:c>
    </x:row>
    <x:row r="37">
      <x:c r="A37" s="17" t="str">
        <x:v>WAM</x:v>
      </x:c>
      <x:c r="B37" s="17" t="str">
        <x:v>FastWAM</x:v>
      </x:c>
      <x:c r="C37" s="17" t="str">
        <x:v>RoboTwin place-A-relative-to-B</x:v>
      </x:c>
      <x:c r="D37" s="17" t="str">
        <x:v>actual rollout</x:v>
      </x:c>
      <x:c r="E37" s="17" t="str">
        <x:v>alternate square encode</x:v>
      </x:c>
      <x:c r="F37" s="17" t="str">
        <x:f>IF(OR(E37="canonical gallery",E37="canonical paired comparison"),"Yes","No")</x:f>
        <x:v>No</x:v>
      </x:c>
      <x:c r="G37" s="17" t="str">
        <x:v>artifacts/vla_wam_shared_v2/media/robotwin_wam_pairs/fastwam_pair02_left_success_right_failure_1200x1200.mp4</x:v>
      </x:c>
      <x:c r="H37" s="20" t="n">
        <x:f>I37/1048576</x:f>
        <x:v>2.976576805114746</x:v>
      </x:c>
      <x:c r="I37" s="17" t="n">
        <x:v>3121167</x:v>
      </x:c>
      <x:c r="J37" s="17" t="str">
        <x:v>1140ee60cea2b60c7bac244fe715b837874e315bcd7cdcab7dab0343618a38a3</x:v>
      </x:c>
      <x:c r="K37" s="17" t="str"/>
    </x:row>
    <x:row r="38">
      <x:c r="A38" s="17" t="str">
        <x:v>WAM</x:v>
      </x:c>
      <x:c r="B38" s="17" t="str">
        <x:v>FastWAM</x:v>
      </x:c>
      <x:c r="C38" s="17" t="str">
        <x:v>RoboTwin place-A-relative-to-B</x:v>
      </x:c>
      <x:c r="D38" s="17" t="str">
        <x:v>actual rollout</x:v>
      </x:c>
      <x:c r="E38" s="17" t="str">
        <x:v>reconstruction component</x:v>
      </x:c>
      <x:c r="F38" s="17" t="str">
        <x:f>IF(OR(E38="canonical gallery",E38="canonical paired comparison"),"Yes","No")</x:f>
        <x:v>No</x:v>
      </x:c>
      <x:c r="G38" s="17" t="str">
        <x:v>artifacts/vla_wam_shared_v2/media/robotwin_wam_pairs/fastwam_pair02_left_success_right_failure_left_reconstructed_head.mp4</x:v>
      </x:c>
      <x:c r="H38" s="20" t="n">
        <x:f>I38/1048576</x:f>
        <x:v>0.40372467041015625</x:v>
      </x:c>
      <x:c r="I38" s="17" t="n">
        <x:v>423336</x:v>
      </x:c>
      <x:c r="J38" s="17" t="str">
        <x:v>6ab636ebf99c61221052982031ceedc83efc9a9bdc89b3df0a633f2bf59b2f15</x:v>
      </x:c>
      <x:c r="K38" s="17" t="str"/>
    </x:row>
    <x:row r="39">
      <x:c r="A39" s="17" t="str">
        <x:v>WAM</x:v>
      </x:c>
      <x:c r="B39" s="17" t="str">
        <x:v>FastWAM</x:v>
      </x:c>
      <x:c r="C39" s="17" t="str">
        <x:v>RoboTwin place-A-relative-to-B</x:v>
      </x:c>
      <x:c r="D39" s="17" t="str">
        <x:v>actual rollout</x:v>
      </x:c>
      <x:c r="E39" s="17" t="str">
        <x:v>reconstruction component</x:v>
      </x:c>
      <x:c r="F39" s="17" t="str">
        <x:f>IF(OR(E39="canonical gallery",E39="canonical paired comparison"),"Yes","No")</x:f>
        <x:v>No</x:v>
      </x:c>
      <x:c r="G39" s="17" t="str">
        <x:v>artifacts/vla_wam_shared_v2/media/robotwin_wam_pairs/fastwam_pair02_left_success_right_failure_right_reconstructed_head.mp4</x:v>
      </x:c>
      <x:c r="H39" s="20" t="n">
        <x:f>I39/1048576</x:f>
        <x:v>1.1666259765625</x:v>
      </x:c>
      <x:c r="I39" s="17" t="n">
        <x:v>1223296</x:v>
      </x:c>
      <x:c r="J39" s="17" t="str">
        <x:v>b756bada8a6ba7cd9056048feeef72af6af8a585096599bd8053a41e5a2c56b8</x:v>
      </x:c>
      <x:c r="K39" s="17" t="str"/>
    </x:row>
    <x:row r="40">
      <x:c r="A40" s="17" t="str">
        <x:v>WAM</x:v>
      </x:c>
      <x:c r="B40" s="17" t="str">
        <x:v>LingBot-VA</x:v>
      </x:c>
      <x:c r="C40" s="17" t="str">
        <x:v>RoboTwin place-A-relative-to-B</x:v>
      </x:c>
      <x:c r="D40" s="17" t="str">
        <x:v>actual rollout</x:v>
      </x:c>
      <x:c r="E40" s="17" t="str">
        <x:v>canonical gallery</x:v>
      </x:c>
      <x:c r="F40" s="17" t="str">
        <x:f>IF(OR(E40="canonical gallery",E40="canonical paired comparison"),"Yes","No")</x:f>
        <x:v>Yes</x:v>
      </x:c>
      <x:c r="G40" s="17" t="str">
        <x:v>artifacts/vla_wam_shared_v2/media/robotwin_wam_pairs/lingbot_va_pair00_left_success_right_failure.mp4</x:v>
      </x:c>
      <x:c r="H40" s="20" t="n">
        <x:f>I40/1048576</x:f>
        <x:v>2.6920156478881836</x:v>
      </x:c>
      <x:c r="I40" s="17" t="n">
        <x:v>2822783</x:v>
      </x:c>
      <x:c r="J40" s="17" t="str">
        <x:v>d7f5addbfbf0074a2e116d197b12b679e5489e81dd0120334221347c406c8a0b</x:v>
      </x:c>
      <x:c r="K40" s="17" t="str">
        <x:v>artifacts/vla_wam_shared_v2/media/robotwin_wam_pairs/media_index.json</x:v>
      </x:c>
    </x:row>
    <x:row r="41">
      <x:c r="A41" s="17" t="str">
        <x:v>WAM</x:v>
      </x:c>
      <x:c r="B41" s="17" t="str">
        <x:v>LingBot-VA</x:v>
      </x:c>
      <x:c r="C41" s="17" t="str">
        <x:v>RoboTwin place-A-relative-to-B</x:v>
      </x:c>
      <x:c r="D41" s="17" t="str">
        <x:v>actual rollout</x:v>
      </x:c>
      <x:c r="E41" s="17" t="str">
        <x:v>alternate square encode</x:v>
      </x:c>
      <x:c r="F41" s="17" t="str">
        <x:f>IF(OR(E41="canonical gallery",E41="canonical paired comparison"),"Yes","No")</x:f>
        <x:v>No</x:v>
      </x:c>
      <x:c r="G41" s="17" t="str">
        <x:v>artifacts/vla_wam_shared_v2/media/robotwin_wam_pairs/lingbot_va_pair00_left_success_right_failure_1200x1200.mp4</x:v>
      </x:c>
      <x:c r="H41" s="20" t="n">
        <x:f>I41/1048576</x:f>
        <x:v>1.8623771667480469</x:v>
      </x:c>
      <x:c r="I41" s="17" t="n">
        <x:v>1952844</x:v>
      </x:c>
      <x:c r="J41" s="17" t="str">
        <x:v>1d8bc1eea79cd7a274fed1dd8338f51f5b8d1d9b5ac75fdc3a9f9fdb18021064</x:v>
      </x:c>
      <x:c r="K41" s="17" t="str"/>
    </x:row>
    <x:row r="42">
      <x:c r="A42" s="17" t="str">
        <x:v>VLA</x:v>
      </x:c>
      <x:c r="B42" s="17" t="str">
        <x:v>LingBot-VLA 4B</x:v>
      </x:c>
      <x:c r="C42" s="17" t="str">
        <x:v>RoboTwin place-A-relative-to-B</x:v>
      </x:c>
      <x:c r="D42" s="17" t="str">
        <x:v>actual rollout</x:v>
      </x:c>
      <x:c r="E42" s="17" t="str">
        <x:v>canonical gallery</x:v>
      </x:c>
      <x:c r="F42" s="17" t="str">
        <x:f>IF(OR(E42="canonical gallery",E42="canonical paired comparison"),"Yes","No")</x:f>
        <x:v>Yes</x:v>
      </x:c>
      <x:c r="G42" s="17" t="str">
        <x:v>artifacts/vla_wam_shared_v2/pilot/expansion/media/lingbot_vla_4b_pair00_matched.mp4</x:v>
      </x:c>
      <x:c r="H42" s="20" t="n">
        <x:f>I42/1048576</x:f>
        <x:v>0.10025405883789062</x:v>
      </x:c>
      <x:c r="I42" s="17" t="n">
        <x:v>105124</x:v>
      </x:c>
      <x:c r="J42" s="17" t="str">
        <x:v>6fdf9383bcee0abf5cd6910afd477b3aa6bd69a0fd36ee4b8ab3eaf059b697ae</x:v>
      </x:c>
      <x:c r="K42" s="17" t="str">
        <x:v>artifacts/vla_wam_shared_v2/pilot/expansion/lingbot_vla_4b_direct_gate.json</x:v>
      </x:c>
    </x:row>
  </x:sheetData>
  <x:mergeCells>
    <x:mergeCell ref="A1:K2"/>
    <x:mergeCell ref="A3:K4"/>
  </x:mergeCells>
  <x:conditionalFormatting sqref="D7:D42">
    <x:cfRule type="containsText" dxfId="0" priority="1" operator="containsText" text="actual rollout"/>
    <x:cfRule type="containsText" dxfId="1" priority="2" operator="containsText" text="prediction"/>
  </x:conditionalFormatting>
  <x:pageMargins left="0.7" right="0.7" top="0.75" bottom="0.75" header="0.3" footer="0.3"/>
  <x:tableParts count="1">
    <x:tablePart xmlns:r="http://schemas.openxmlformats.org/officeDocument/2006/relationships" r:id="R43ae14298fa3439b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0" hidden="0" customWidth="1"/>
    <x:col min="2" max="2" width="30" hidden="0" customWidth="1"/>
    <x:col min="3" max="3" width="34" hidden="0" customWidth="1"/>
    <x:col min="4" max="4" width="18" hidden="0" customWidth="1"/>
    <x:col min="5" max="5" width="34" hidden="0" customWidth="1"/>
    <x:col min="6" max="6" width="34" hidden="0" customWidth="1"/>
    <x:col min="7" max="7" width="20" hidden="0" customWidth="1"/>
    <x:col min="8" max="8" width="20" hidden="0" customWidth="1"/>
    <x:col min="9" max="9" width="48" hidden="0" customWidth="1"/>
    <x:col min="10" max="10" width="72" hidden="0" customWidth="1"/>
  </x:cols>
  <x:sheetData>
    <x:row r="1">
      <x:c r="A1" s="3" t="str">
        <x:v>Nonbehavioral and release-gate evidence</x:v>
      </x:c>
      <x:c r="B1" s="3"/>
      <x:c r="C1" s="3"/>
      <x:c r="D1" s="3"/>
      <x:c r="E1" s="3"/>
      <x:c r="F1" s="3"/>
      <x:c r="G1" s="3"/>
      <x:c r="H1" s="3"/>
      <x:c r="I1" s="3"/>
      <x:c r="J1" s="3"/>
    </x:row>
    <x:row r="2">
      <x:c r="A2" s="3"/>
      <x:c r="B2" s="3"/>
      <x:c r="C2" s="3"/>
      <x:c r="D2" s="3"/>
      <x:c r="E2" s="3"/>
      <x:c r="F2" s="3"/>
      <x:c r="G2" s="3"/>
      <x:c r="H2" s="3"/>
      <x:c r="I2" s="3"/>
      <x:c r="J2" s="3"/>
    </x:row>
    <x:row r="3">
      <x:c r="A3" s="7" t="str">
        <x:v>These rows have zero behavioral episodes and never enter success denominators.</x:v>
      </x:c>
      <x:c r="B3" s="7"/>
      <x:c r="C3" s="7"/>
      <x:c r="D3" s="7"/>
      <x:c r="E3" s="7"/>
      <x:c r="F3" s="7"/>
      <x:c r="G3" s="7"/>
      <x:c r="H3" s="7"/>
      <x:c r="I3" s="7"/>
      <x:c r="J3" s="7"/>
    </x:row>
    <x:row r="4">
      <x:c r="A4" s="7"/>
      <x:c r="B4" s="7"/>
      <x:c r="C4" s="7"/>
      <x:c r="D4" s="7"/>
      <x:c r="E4" s="7"/>
      <x:c r="F4" s="7"/>
      <x:c r="G4" s="7"/>
      <x:c r="H4" s="7"/>
      <x:c r="I4" s="7"/>
      <x:c r="J4" s="7"/>
    </x:row>
    <x:row r="6">
      <x:c r="A6" s="12" t="str">
        <x:v>Model</x:v>
      </x:c>
      <x:c r="B6" s="12" t="str">
        <x:v>Class</x:v>
      </x:c>
      <x:c r="C6" s="12" t="str">
        <x:v>Scope</x:v>
      </x:c>
      <x:c r="D6" s="12" t="str">
        <x:v>Behavioral episodes</x:v>
      </x:c>
      <x:c r="E6" s="12" t="str">
        <x:v>Evidence type</x:v>
      </x:c>
      <x:c r="F6" s="12" t="str">
        <x:v>Gate result</x:v>
      </x:c>
      <x:c r="G6" s="12" t="str">
        <x:v>Execution video</x:v>
      </x:c>
      <x:c r="H6" s="12" t="str">
        <x:v>Prediction video</x:v>
      </x:c>
      <x:c r="I6" s="12" t="str">
        <x:v>Why no success score</x:v>
      </x:c>
      <x:c r="J6" s="12" t="str">
        <x:v>Primary source</x:v>
      </x:c>
    </x:row>
    <x:row r="7">
      <x:c r="A7" s="17" t="str">
        <x:v>Cosmos3 Edge base — DROID</x:v>
      </x:c>
      <x:c r="B7" s="17" t="str">
        <x:v>WAM</x:v>
      </x:c>
      <x:c r="C7" s="17" t="str">
        <x:v>Fixed-observation interface probe</x:v>
      </x:c>
      <x:c r="D7" s="17" t="n">
        <x:v>0</x:v>
      </x:c>
      <x:c r="E7" s="17" t="str">
        <x:v>Generated future + unexecuted actions</x:v>
      </x:c>
      <x:c r="F7" s="17" t="str">
        <x:v>Repeat deterministic; LEFT/RIGHT changed</x:v>
      </x:c>
      <x:c r="G7" s="17" t="str">
        <x:v>Unavailable</x:v>
      </x:c>
      <x:c r="H7" s="17" t="str">
        <x:v>Available (canonical)</x:v>
      </x:c>
      <x:c r="I7" s="17" t="str">
        <x:v>Exact Franka + Robotiq CuRobo control mapping was not verified.</x:v>
      </x:c>
      <x:c r="J7" s="17" t="str">
        <x:v>artifacts/vla_wam_shared_v2/pilot/expansion/cosmos3_edge_base_v2a013_fixed_observation.json</x:v>
      </x:c>
    </x:row>
    <x:row r="8">
      <x:c r="A8" s="17" t="str">
        <x:v>Cosmos3-Super base</x:v>
      </x:c>
      <x:c r="B8" s="17" t="str">
        <x:v>WAM</x:v>
      </x:c>
      <x:c r="C8" s="17" t="str">
        <x:v>Image-only interface probe</x:v>
      </x:c>
      <x:c r="D8" s="17" t="n">
        <x:v>0</x:v>
      </x:c>
      <x:c r="E8" s="17" t="str">
        <x:v>Generated future + unexecuted actions</x:v>
      </x:c>
      <x:c r="F8" s="17" t="str">
        <x:v>Repeat deterministic; LEFT/RIGHT changed</x:v>
      </x:c>
      <x:c r="G8" s="17" t="str">
        <x:v>Unavailable</x:v>
      </x:c>
      <x:c r="H8" s="17" t="str">
        <x:v>Available (canonical)</x:v>
      </x:c>
      <x:c r="I8" s="17" t="str">
        <x:v>Authorized arm was image-only: no state, simulator, or controller execution.</x:v>
      </x:c>
      <x:c r="J8" s="17" t="str">
        <x:v>artifacts/vla_wam_shared_v2/pilot/expansion/cosmos3_super_image_only_v2a014_result.json</x:v>
      </x:c>
    </x:row>
    <x:row r="9">
      <x:c r="A9" s="17" t="str">
        <x:v>Cosmos-Reason2 2B</x:v>
      </x:c>
      <x:c r="B9" s="17" t="str">
        <x:v>Diagnostic</x:v>
      </x:c>
      <x:c r="C9" s="17" t="str">
        <x:v>Static reasoning diagnostic</x:v>
      </x:c>
      <x:c r="D9" s="17" t="n">
        <x:v>0</x:v>
      </x:c>
      <x:c r="E9" s="17" t="str">
        <x:v>Reasoning output only</x:v>
      </x:c>
      <x:c r="F9" s="17" t="str">
        <x:v>Not a robot policy or behavioral gate</x:v>
      </x:c>
      <x:c r="G9" s="17" t="str">
        <x:v>Unavailable</x:v>
      </x:c>
      <x:c r="H9" s="17" t="str">
        <x:v>Unavailable</x:v>
      </x:c>
      <x:c r="I9" s="17" t="str">
        <x:v>The retained arm does not emit executable policy actions for this protocol.</x:v>
      </x:c>
      <x:c r="J9" s="17" t="str">
        <x:v>artifacts/vla_wam_shared_v2/pilot/expansion/cosmos_reason2_2b_readiness.json</x:v>
      </x:c>
    </x:row>
    <x:row r="10">
      <x:c r="A10" s="17" t="str">
        <x:v>π0-FAST current-stack wording replication</x:v>
      </x:c>
      <x:c r="B10" s="17" t="str">
        <x:v>VLA release gate</x:v>
      </x:c>
      <x:c r="C10" s="17" t="str">
        <x:v>Fixed-observation action-sensitivity gate</x:v>
      </x:c>
      <x:c r="D10" s="17" t="n">
        <x:v>0</x:v>
      </x:c>
      <x:c r="E10" s="17" t="str">
        <x:v>Action tensor diagnostic</x:v>
      </x:c>
      <x:c r="F10" s="17" t="str">
        <x:v>Failed: LEFT and RIGHT action tensors were identical</x:v>
      </x:c>
      <x:c r="G10" s="17" t="str">
        <x:v>Unavailable</x:v>
      </x:c>
      <x:c r="H10" s="17" t="str">
        <x:v>Not applicable</x:v>
      </x:c>
      <x:c r="I10" s="17" t="str">
        <x:v>The preregistered release gate stopped before behavioral episodes.</x:v>
      </x:c>
      <x:c r="J10" s="17" t="str">
        <x:v>artifacts/vla_wam_shared_v2/pilot/expansion/pi0_fast_current_stack_v2a008_release_probe.json</x:v>
      </x:c>
    </x:row>
  </x:sheetData>
  <x:mergeCells>
    <x:mergeCell ref="A1:J2"/>
    <x:mergeCell ref="A3:J4"/>
  </x:mergeCells>
  <x:pageMargins left="0.7" right="0.7" top="0.75" bottom="0.75" header="0.3" footer="0.3"/>
  <x:tableParts count="1">
    <x:tablePart xmlns:r="http://schemas.openxmlformats.org/officeDocument/2006/relationships" r:id="Rbc745efaa6f54d33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72" hidden="0" customWidth="1"/>
    <x:col min="3" max="3" width="76" hidden="0" customWidth="1"/>
    <x:col min="4" max="4" width="88" hidden="0" customWidth="1"/>
  </x:cols>
  <x:sheetData>
    <x:row r="1">
      <x:c r="A1" s="3" t="str">
        <x:v>Definitions, claim boundaries, and sources</x:v>
      </x:c>
      <x:c r="B1" s="3"/>
      <x:c r="C1" s="3"/>
      <x:c r="D1" s="3"/>
    </x:row>
    <x:row r="2">
      <x:c r="A2" s="3"/>
      <x:c r="B2" s="3"/>
      <x:c r="C2" s="3"/>
      <x:c r="D2" s="3"/>
    </x:row>
    <x:row r="3">
      <x:c r="A3" s="7" t="str">
        <x:v>The workbook is a reader-facing index of committed evidence, not a replacement for the frozen protocol or hash-bearing JSON.</x:v>
      </x:c>
      <x:c r="B3" s="7"/>
      <x:c r="C3" s="7"/>
      <x:c r="D3" s="7"/>
    </x:row>
    <x:row r="4">
      <x:c r="A4" s="7"/>
      <x:c r="B4" s="7"/>
      <x:c r="C4" s="7"/>
      <x:c r="D4" s="7"/>
    </x:row>
    <x:row r="6">
      <x:c r="A6" s="12" t="str">
        <x:v>Item</x:v>
      </x:c>
      <x:c r="B6" s="12" t="str">
        <x:v>Definition / purpose</x:v>
      </x:c>
      <x:c r="C6" s="12" t="str">
        <x:v>Repository source</x:v>
      </x:c>
      <x:c r="D6" s="12" t="str">
        <x:v>GitHub URL</x:v>
      </x:c>
    </x:row>
    <x:row r="7">
      <x:c r="A7" s="17" t="str">
        <x:v>Task success</x:v>
      </x:c>
      <x:c r="B7" s="17" t="str">
        <x:v>Arena-specific frozen completion predicate for the requested LEFT or RIGHT relation.</x:v>
      </x:c>
      <x:c r="C7" s="17" t="str">
        <x:v>artifacts/vla_wam_shared_v2/results/direct_command_cross_model_comparison.json</x:v>
      </x:c>
      <x:c r="D7" s="17" t="str">
        <x:v>https://github.com/adeeb10abbas/steerable/blob/codex/wam-language-steerability/artifacts/vla_wam_shared_v2/results/direct_command_cross_model_comparison.json</x:v>
      </x:c>
    </x:row>
    <x:row r="8">
      <x:c r="A8" s="17" t="str">
        <x:v>Endpoint alignment</x:v>
      </x:c>
      <x:c r="B8" s="17" t="str">
        <x:v>Within a matched state/seed pair, the RIGHT-command endpoint lies to the right of the LEFT-command endpoint. Sensitivity, not success.</x:v>
      </x:c>
      <x:c r="C8" s="17" t="str">
        <x:v>docs/VLA_WAM_STEERABILITY_V2_PROTOCOL.md</x:v>
      </x:c>
      <x:c r="D8" s="17" t="str">
        <x:v>https://github.com/adeeb10abbas/steerable/blob/codex/wam-language-steerability/docs/VLA_WAM_STEERABILITY_V2_PROTOCOL.md</x:v>
      </x:c>
    </x:row>
    <x:row r="9">
      <x:c r="A9" s="17" t="str">
        <x:v>Action distinctness</x:v>
      </x:c>
      <x:c r="B9" s="17" t="str">
        <x:v>The matched LEFT and RIGHT episodes executed different action traces. Missing/unreported is blank, never zero.</x:v>
      </x:c>
      <x:c r="C9" s="17" t="str">
        <x:v>docs/VLA_WAM_STEERABILITY_V2_PROTOCOL.md</x:v>
      </x:c>
      <x:c r="D9" s="17" t="str">
        <x:v>https://github.com/adeeb10abbas/steerable/blob/codex/wam-language-steerability/docs/VLA_WAM_STEERABILITY_V2_PROTOCOL.md</x:v>
      </x:c>
    </x:row>
    <x:row r="10">
      <x:c r="A10" s="17" t="str">
        <x:v>Behavioral denominator</x:v>
      </x:c>
      <x:c r="B10" s="17" t="str">
        <x:v>Valid completed episodes only. Setup failures, rendering failures, partial runs, and interface probes are excluded.</x:v>
      </x:c>
      <x:c r="C10" s="17" t="str">
        <x:v>artifacts/vla_wam_shared_v2/results/direct_command_cross_model_comparison.md</x:v>
      </x:c>
      <x:c r="D10" s="17" t="str">
        <x:v>https://github.com/adeeb10abbas/steerable/blob/codex/wam-language-steerability/artifacts/vla_wam_shared_v2/results/direct_command_cross_model_comparison.md</x:v>
      </x:c>
    </x:row>
    <x:row r="11">
      <x:c r="A11" s="17" t="str">
        <x:v>Arena separation</x:v>
      </x:c>
      <x:c r="B11" s="17" t="str">
        <x:v>DROID/RoboLab and RoboTwin use different tasks and success predicates; their raw success rates are never pooled.</x:v>
      </x:c>
      <x:c r="C11" s="17" t="str">
        <x:v>docs/VLA_WAM_RESEARCH_BLOG.md</x:v>
      </x:c>
      <x:c r="D11" s="17" t="str">
        <x:v>https://github.com/adeeb10abbas/steerable/blob/codex/wam-language-steerability/docs/VLA_WAM_RESEARCH_BLOG.md</x:v>
      </x:c>
    </x:row>
    <x:row r="12">
      <x:c r="A12" s="17" t="str">
        <x:v>Video roles</x:v>
      </x:c>
      <x:c r="B12" s="17" t="str">
        <x:v>Execution may evidence behavior. Prediction/imagination, alternate encodes, and reconstruction components are not additional episodes.</x:v>
      </x:c>
      <x:c r="C12" s="17" t="str">
        <x:v>artifacts/vla_wam_shared_v2/media/README.md</x:v>
      </x:c>
      <x:c r="D12" s="17" t="str">
        <x:v>https://github.com/adeeb10abbas/steerable/blob/codex/wam-language-steerability/artifacts/vla_wam_shared_v2/media/README.md</x:v>
      </x:c>
    </x:row>
    <x:row r="13">
      <x:c r="A13" s="17" t="str">
        <x:v>Cross-model source-set SHA-256</x:v>
      </x:c>
      <x:c r="B13" s="17" t="str">
        <x:v>2ea061c98347a56ec2a22fb4d00536f7854159feb6c8dbdfc39c4439b4d531d0</x:v>
      </x:c>
      <x:c r="C13" s="17" t="str">
        <x:v>artifacts/vla_wam_shared_v2/results/direct_command_cross_model_comparison_manifest.json</x:v>
      </x:c>
      <x:c r="D13" s="17" t="str">
        <x:v>https://github.com/adeeb10abbas/steerable/blob/codex/wam-language-steerability/artifacts/vla_wam_shared_v2/results/direct_command_cross_model_comparison_manifest.json</x:v>
      </x:c>
    </x:row>
    <x:row r="14">
      <x:c r="A14" s="17" t="str">
        <x:v>Evidence cutoff commit</x:v>
      </x:c>
      <x:c r="B14" s="17" t="str">
        <x:v>047212414bfd901392c39b0f82946be49574ead6</x:v>
      </x:c>
      <x:c r="C14" s="17" t="str">
        <x:v>Git branch codex/wam-language-steerability</x:v>
      </x:c>
      <x:c r="D14" s="17" t="str">
        <x:v>https://github.com/adeeb10abbas/steerable/tree/codex/wam-language-steerability</x:v>
      </x:c>
    </x:row>
  </x:sheetData>
  <x:mergeCells>
    <x:mergeCell ref="A1:D2"/>
    <x:mergeCell ref="A3:D4"/>
  </x:mergeCells>
  <x:pageMargins left="0.7" right="0.7" top="0.75" bottom="0.75" header="0.3" footer="0.3"/>
  <x:tableParts count="1">
    <x:tablePart xmlns:r="http://schemas.openxmlformats.org/officeDocument/2006/relationships" r:id="R4e2d8924d8304012"/>
  </x:tableParts>
</x:worksheet>
</file>